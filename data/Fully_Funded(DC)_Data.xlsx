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anRayaneh\Desktop\"/>
    </mc:Choice>
  </mc:AlternateContent>
  <xr:revisionPtr revIDLastSave="0" documentId="13_ncr:1_{4EAC6E76-D536-4A9F-964C-6AABCAEEF449}" xr6:coauthVersionLast="47" xr6:coauthVersionMax="47" xr10:uidLastSave="{00000000-0000-0000-0000-000000000000}"/>
  <bookViews>
    <workbookView xWindow="-25755" yWindow="330" windowWidth="25680" windowHeight="20640" xr2:uid="{DABA87CA-8175-4E75-8BFE-C89536A42840}"/>
  </bookViews>
  <sheets>
    <sheet name="Assumptions" sheetId="1" r:id="rId1"/>
    <sheet name="Life_table" sheetId="3" r:id="rId2"/>
    <sheet name="People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3" i="2"/>
  <c r="F4" i="2"/>
  <c r="F5" i="2"/>
  <c r="F6" i="2"/>
  <c r="F7" i="2"/>
  <c r="F8" i="2"/>
  <c r="F9" i="2"/>
  <c r="F2" i="2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</calcChain>
</file>

<file path=xl/sharedStrings.xml><?xml version="1.0" encoding="utf-8"?>
<sst xmlns="http://schemas.openxmlformats.org/spreadsheetml/2006/main" count="416" uniqueCount="203">
  <si>
    <t>Scheme_Type</t>
  </si>
  <si>
    <t>Fully Funded - DC</t>
  </si>
  <si>
    <t>طرح مشارکت معین با تأمین مالی کامل</t>
  </si>
  <si>
    <t>دسته</t>
  </si>
  <si>
    <t>واحد / توضیح</t>
  </si>
  <si>
    <t>ساختار صندوق</t>
  </si>
  <si>
    <t>اعضا</t>
  </si>
  <si>
    <t>Number_of_Members</t>
  </si>
  <si>
    <t>نفر</t>
  </si>
  <si>
    <t>سن ورود</t>
  </si>
  <si>
    <t>Entry_Age_Min</t>
  </si>
  <si>
    <t>سال</t>
  </si>
  <si>
    <t>Entry_Age_Max</t>
  </si>
  <si>
    <t>سن بازنشستگی</t>
  </si>
  <si>
    <t>Normal_Retirement_Age</t>
  </si>
  <si>
    <t>سابقه لازم</t>
  </si>
  <si>
    <t>Minimum_Service_Years</t>
  </si>
  <si>
    <t>سال سابقه برای احراز بازنشستگی</t>
  </si>
  <si>
    <t>افق تحلیل</t>
  </si>
  <si>
    <t>Projection_Horizon</t>
  </si>
  <si>
    <t>نرخ حق‌بیمه کارمند</t>
  </si>
  <si>
    <t>Employee_Contribution_Rate</t>
  </si>
  <si>
    <t>درصد حقوق</t>
  </si>
  <si>
    <t>نرخ حق‌بیمه کارفرما</t>
  </si>
  <si>
    <t>Employer_Contribution_Rate</t>
  </si>
  <si>
    <t>نرخ حق‌بیمه کل</t>
  </si>
  <si>
    <t>Total_Contribution_Rate</t>
  </si>
  <si>
    <t>جمع سهم کارمند و کارفرما</t>
  </si>
  <si>
    <t>نرخ رشد اسمی حقوق</t>
  </si>
  <si>
    <t>Salary_Growth_Rate</t>
  </si>
  <si>
    <t>سالانه</t>
  </si>
  <si>
    <t>نرخ تورم</t>
  </si>
  <si>
    <t>Inflation_Rate</t>
  </si>
  <si>
    <t>نرخ بازده سرمایه‌گذاری</t>
  </si>
  <si>
    <t>Investment_Return_Rate</t>
  </si>
  <si>
    <t>سالانه، اسمی</t>
  </si>
  <si>
    <t>هزینه اداری</t>
  </si>
  <si>
    <t>Administrative_Expense_Rate</t>
  </si>
  <si>
    <t>از حق‌بیمه دریافتی</t>
  </si>
  <si>
    <t>زمان پرداخت حق‌بیمه</t>
  </si>
  <si>
    <t>Contribution_Timing</t>
  </si>
  <si>
    <t>End of Year</t>
  </si>
  <si>
    <t>پایان هر سال</t>
  </si>
  <si>
    <t>زمان اعمال بازده</t>
  </si>
  <si>
    <t>Investment_Timing</t>
  </si>
  <si>
    <t>بازده پس از جریان نقدی سالانه</t>
  </si>
  <si>
    <t>روش تأمین مالی</t>
  </si>
  <si>
    <t>Funding_Method</t>
  </si>
  <si>
    <t>Fully Funded</t>
  </si>
  <si>
    <t>هر عضو دارای اندوخته انفرادی است</t>
  </si>
  <si>
    <t>نوع مزایا</t>
  </si>
  <si>
    <t>Benefit_Type</t>
  </si>
  <si>
    <t>Life Annuity</t>
  </si>
  <si>
    <t>مستمری مادام‌العمر</t>
  </si>
  <si>
    <t>روش محاسبه مستمری</t>
  </si>
  <si>
    <t>Annuity_Method</t>
  </si>
  <si>
    <t>Annuity Factor</t>
  </si>
  <si>
    <t>مستمری برابر اندوخته تقسیم بر عامل مستمری</t>
  </si>
  <si>
    <t>جدول مرگ‌ومیر</t>
  </si>
  <si>
    <t>Mortality_Table</t>
  </si>
  <si>
    <t>Iran Life Table</t>
  </si>
  <si>
    <t>باید جنسیت و سال جدول مشخص شود</t>
  </si>
  <si>
    <t>خروج پیش از بازنشستگی</t>
  </si>
  <si>
    <t>Pre_Retirement_Withdrawal</t>
  </si>
  <si>
    <t>Not Modeled</t>
  </si>
  <si>
    <t>ترک خدمت و خروج اختیاری لحاظ نمی‌شود</t>
  </si>
  <si>
    <t>ازکارافتادگی</t>
  </si>
  <si>
    <t>Disability_Risk</t>
  </si>
  <si>
    <t>در مدل پایه لحاظ نمی‌شود</t>
  </si>
  <si>
    <t>تعدیل مستمری</t>
  </si>
  <si>
    <t>Pension_Indexation</t>
  </si>
  <si>
    <t>To Be Defined</t>
  </si>
  <si>
    <t>انتقال به وراث</t>
  </si>
  <si>
    <t>Survivor_Benefit</t>
  </si>
  <si>
    <t>اندوخته اولیه</t>
  </si>
  <si>
    <t>Initial_Fund_Balance</t>
  </si>
  <si>
    <t>بدهی اولیه</t>
  </si>
  <si>
    <t>Initial_Actuarial_Liability</t>
  </si>
  <si>
    <t>کسری یا تزریق اضافی</t>
  </si>
  <si>
    <t>External_Financing</t>
  </si>
  <si>
    <t>دولت یا کارفرما تزریق اضافی ندارد</t>
  </si>
  <si>
    <t>پارامتر</t>
  </si>
  <si>
    <t>-</t>
  </si>
  <si>
    <t>مقدار</t>
  </si>
  <si>
    <t>Age</t>
  </si>
  <si>
    <t>lx</t>
  </si>
  <si>
    <t>qx</t>
  </si>
  <si>
    <t>px</t>
  </si>
  <si>
    <t>سن از 0 تا 100</t>
  </si>
  <si>
    <t>احتمال فوت بین سن x تا 1+x</t>
  </si>
  <si>
    <t>احتمال بقا یک‌ساله، یعنی px=1-qx</t>
  </si>
  <si>
    <t>تعداد بازماندگان در ابتدای سن x</t>
  </si>
  <si>
    <t>Status</t>
  </si>
  <si>
    <t>Member_ID</t>
  </si>
  <si>
    <t>Entry_Age</t>
  </si>
  <si>
    <t>Service_Years</t>
  </si>
  <si>
    <t>Initial_Salary</t>
  </si>
  <si>
    <t>Initial_Account_Balance</t>
  </si>
  <si>
    <t>Active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</si>
  <si>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</si>
  <si>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</si>
  <si>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</si>
  <si>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</si>
  <si>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</si>
  <si>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</si>
  <si>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</si>
  <si>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</si>
  <si>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</si>
  <si>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</si>
  <si>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</si>
  <si>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</si>
  <si>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</si>
  <si>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</si>
  <si>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</si>
  <si>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</si>
  <si>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</si>
  <si>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</si>
  <si>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</si>
  <si>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</si>
  <si>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</si>
  <si>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</si>
  <si>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</si>
  <si>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</si>
  <si>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</si>
  <si>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</si>
  <si>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</si>
  <si>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</si>
  <si>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</si>
  <si>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</si>
  <si>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</si>
  <si>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</si>
  <si>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</si>
  <si>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</si>
  <si>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</si>
  <si>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</si>
  <si>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</si>
  <si>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</si>
  <si>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</si>
  <si>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</si>
  <si>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</si>
  <si>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</si>
  <si>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</si>
  <si>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</si>
  <si>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</si>
  <si>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</si>
  <si>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</si>
  <si>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</si>
  <si>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</si>
  <si>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</si>
  <si>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</si>
  <si>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</si>
  <si>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</si>
  <si>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</si>
  <si>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</si>
  <si>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</si>
  <si>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</si>
  <si>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</si>
  <si>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</si>
  <si>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</si>
  <si>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</si>
  <si>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</si>
  <si>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</si>
  <si>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</si>
  <si>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</si>
  <si>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</si>
  <si>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</si>
  <si>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</si>
  <si>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</si>
  <si>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</si>
  <si>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</si>
  <si>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</si>
  <si>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</si>
  <si>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</si>
  <si>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</si>
  <si>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</si>
  <si>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</si>
  <si>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</si>
  <si>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</si>
  <si>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</si>
  <si>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</si>
  <si>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</si>
  <si>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</si>
  <si>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</si>
  <si>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</si>
  <si>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</si>
  <si>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</si>
  <si>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</si>
  <si>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</si>
  <si>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</si>
  <si>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</si>
  <si>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</si>
  <si>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</si>
  <si>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</si>
  <si>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</si>
  <si>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</si>
  <si>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</si>
  <si>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</si>
  <si>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</si>
  <si>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</si>
  <si>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Gender</t>
  </si>
  <si>
    <t>M</t>
  </si>
  <si>
    <t>F</t>
  </si>
  <si>
    <t>ثابت در مدل پایه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</si>
</sst>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09C9-C417-4B5F-A81F-C02EE5A830E5}">
  <dimension ref="A1:D28"/>
  <sheetViews>
    <sheetView tabSelected="1" zoomScale="110" zoomScaleNormal="110" workbookViewId="0">
      <selection activeCell="D24" sqref="D24"/>
    </sheetView>
  </sheetViews>
  <sheetFormatPr defaultRowHeight="14.4" x14ac:dyDescent="0.3"/>
  <cols>
    <col min="1" max="1" width="19.33203125" customWidth="1"/>
    <col min="2" max="2" width="30.5546875" customWidth="1"/>
    <col min="3" max="3" width="18.6640625" customWidth="1"/>
    <col min="4" max="4" width="44.6640625" customWidth="1"/>
  </cols>
  <sheetData>
    <row r="1" spans="1:4" ht="15.6" x14ac:dyDescent="0.3">
      <c r="A1" s="3" t="s">
        <v>3</v>
      </c>
      <c r="B1" s="3" t="s">
        <v>81</v>
      </c>
      <c r="C1" s="3" t="s">
        <v>83</v>
      </c>
      <c r="D1" s="3" t="s">
        <v>4</v>
      </c>
    </row>
    <row r="2" spans="1:4" x14ac:dyDescent="0.3">
      <c r="A2" s="1" t="s">
        <v>5</v>
      </c>
      <c r="B2" s="1" t="s">
        <v>0</v>
      </c>
      <c r="C2" s="1" t="s">
        <v>1</v>
      </c>
      <c r="D2" s="1" t="s">
        <v>2</v>
      </c>
    </row>
    <row r="3" spans="1:4" x14ac:dyDescent="0.3">
      <c r="A3" s="1" t="s">
        <v>6</v>
      </c>
      <c r="B3" s="1" t="s">
        <v>7</v>
      </c>
      <c r="C3" s="1">
        <v>100</v>
      </c>
      <c r="D3" s="1" t="s">
        <v>8</v>
      </c>
    </row>
    <row r="4" spans="1:4" x14ac:dyDescent="0.3">
      <c r="A4" s="1" t="s">
        <v>9</v>
      </c>
      <c r="B4" s="1" t="s">
        <v>10</v>
      </c>
      <c r="C4" s="1">
        <v>20</v>
      </c>
      <c r="D4" s="1" t="s">
        <v>11</v>
      </c>
    </row>
    <row r="5" spans="1:4" x14ac:dyDescent="0.3">
      <c r="A5" s="1" t="s">
        <v>9</v>
      </c>
      <c r="B5" s="1" t="s">
        <v>12</v>
      </c>
      <c r="C5" s="1">
        <v>40</v>
      </c>
      <c r="D5" s="1" t="s">
        <v>11</v>
      </c>
    </row>
    <row r="6" spans="1:4" x14ac:dyDescent="0.3">
      <c r="A6" s="1" t="s">
        <v>13</v>
      </c>
      <c r="B6" s="1" t="s">
        <v>14</v>
      </c>
      <c r="C6" s="1">
        <v>60</v>
      </c>
      <c r="D6" s="1" t="s">
        <v>11</v>
      </c>
    </row>
    <row r="7" spans="1:4" x14ac:dyDescent="0.3">
      <c r="A7" s="1" t="s">
        <v>15</v>
      </c>
      <c r="B7" s="1" t="s">
        <v>16</v>
      </c>
      <c r="C7" s="1">
        <v>20</v>
      </c>
      <c r="D7" s="1" t="s">
        <v>17</v>
      </c>
    </row>
    <row r="8" spans="1:4" x14ac:dyDescent="0.3">
      <c r="A8" s="1" t="s">
        <v>18</v>
      </c>
      <c r="B8" s="1" t="s">
        <v>19</v>
      </c>
      <c r="C8" s="1">
        <v>10</v>
      </c>
      <c r="D8" s="1" t="s">
        <v>11</v>
      </c>
    </row>
    <row r="9" spans="1:4" x14ac:dyDescent="0.3">
      <c r="A9" s="1" t="s">
        <v>20</v>
      </c>
      <c r="B9" s="1" t="s">
        <v>21</v>
      </c>
      <c r="C9" s="2">
        <v>7.0000000000000007E-2</v>
      </c>
      <c r="D9" s="1" t="s">
        <v>22</v>
      </c>
    </row>
    <row r="10" spans="1:4" x14ac:dyDescent="0.3">
      <c r="A10" s="1" t="s">
        <v>23</v>
      </c>
      <c r="B10" s="1" t="s">
        <v>24</v>
      </c>
      <c r="C10" s="2">
        <v>0.13</v>
      </c>
      <c r="D10" s="1" t="s">
        <v>22</v>
      </c>
    </row>
    <row r="11" spans="1:4" x14ac:dyDescent="0.3">
      <c r="A11" s="1" t="s">
        <v>25</v>
      </c>
      <c r="B11" s="1" t="s">
        <v>26</v>
      </c>
      <c r="C11" s="2">
        <v>0.2</v>
      </c>
      <c r="D11" s="1" t="s">
        <v>27</v>
      </c>
    </row>
    <row r="12" spans="1:4" x14ac:dyDescent="0.3">
      <c r="A12" s="1" t="s">
        <v>28</v>
      </c>
      <c r="B12" s="1" t="s">
        <v>29</v>
      </c>
      <c r="C12" s="2">
        <v>0.12</v>
      </c>
      <c r="D12" s="1" t="s">
        <v>30</v>
      </c>
    </row>
    <row r="13" spans="1:4" x14ac:dyDescent="0.3">
      <c r="A13" s="1" t="s">
        <v>31</v>
      </c>
      <c r="B13" s="1" t="s">
        <v>32</v>
      </c>
      <c r="C13" s="2">
        <v>0.11</v>
      </c>
      <c r="D13" s="1" t="s">
        <v>30</v>
      </c>
    </row>
    <row r="14" spans="1:4" x14ac:dyDescent="0.3">
      <c r="A14" s="1" t="s">
        <v>33</v>
      </c>
      <c r="B14" s="1" t="s">
        <v>34</v>
      </c>
      <c r="C14" s="2">
        <v>0.14000000000000001</v>
      </c>
      <c r="D14" s="1" t="s">
        <v>35</v>
      </c>
    </row>
    <row r="15" spans="1:4" x14ac:dyDescent="0.3">
      <c r="A15" s="1" t="s">
        <v>36</v>
      </c>
      <c r="B15" s="1" t="s">
        <v>37</v>
      </c>
      <c r="C15" s="2">
        <v>0.01</v>
      </c>
      <c r="D15" s="1" t="s">
        <v>38</v>
      </c>
    </row>
    <row r="16" spans="1:4" x14ac:dyDescent="0.3">
      <c r="A16" s="1" t="s">
        <v>39</v>
      </c>
      <c r="B16" s="1" t="s">
        <v>40</v>
      </c>
      <c r="C16" s="1" t="s">
        <v>41</v>
      </c>
      <c r="D16" s="1" t="s">
        <v>42</v>
      </c>
    </row>
    <row r="17" spans="1:4" x14ac:dyDescent="0.3">
      <c r="A17" s="1" t="s">
        <v>43</v>
      </c>
      <c r="B17" s="1" t="s">
        <v>44</v>
      </c>
      <c r="C17" s="1" t="s">
        <v>41</v>
      </c>
      <c r="D17" s="1" t="s">
        <v>45</v>
      </c>
    </row>
    <row r="18" spans="1:4" x14ac:dyDescent="0.3">
      <c r="A18" s="1" t="s">
        <v>46</v>
      </c>
      <c r="B18" s="1" t="s">
        <v>47</v>
      </c>
      <c r="C18" s="1" t="s">
        <v>48</v>
      </c>
      <c r="D18" s="1" t="s">
        <v>49</v>
      </c>
    </row>
    <row r="19" spans="1:4" x14ac:dyDescent="0.3">
      <c r="A19" s="1" t="s">
        <v>50</v>
      </c>
      <c r="B19" s="1" t="s">
        <v>51</v>
      </c>
      <c r="C19" s="1" t="s">
        <v>52</v>
      </c>
      <c r="D19" s="1" t="s">
        <v>53</v>
      </c>
    </row>
    <row r="20" spans="1:4" x14ac:dyDescent="0.3">
      <c r="A20" s="1" t="s">
        <v>54</v>
      </c>
      <c r="B20" s="1" t="s">
        <v>55</v>
      </c>
      <c r="C20" s="1" t="s">
        <v>56</v>
      </c>
      <c r="D20" s="1" t="s">
        <v>57</v>
      </c>
    </row>
    <row r="21" spans="1:4" x14ac:dyDescent="0.3">
      <c r="A21" s="1" t="s">
        <v>58</v>
      </c>
      <c r="B21" s="1" t="s">
        <v>59</v>
      </c>
      <c r="C21" s="1" t="s">
        <v>60</v>
      </c>
      <c r="D21" s="1" t="s">
        <v>61</v>
      </c>
    </row>
    <row r="22" spans="1:4" x14ac:dyDescent="0.3">
      <c r="A22" s="1" t="s">
        <v>62</v>
      </c>
      <c r="B22" s="1" t="s">
        <v>63</v>
      </c>
      <c r="C22" s="1" t="s">
        <v>64</v>
      </c>
      <c r="D22" s="1" t="s">
        <v>65</v>
      </c>
    </row>
    <row r="23" spans="1:4" x14ac:dyDescent="0.3">
      <c r="A23" s="1" t="s">
        <v>66</v>
      </c>
      <c r="B23" s="1" t="s">
        <v>67</v>
      </c>
      <c r="C23" s="1" t="s">
        <v>64</v>
      </c>
      <c r="D23" s="1" t="s">
        <v>68</v>
      </c>
    </row>
    <row r="24" spans="1:4" x14ac:dyDescent="0.3">
      <c r="A24" s="1" t="s">
        <v>69</v>
      </c>
      <c r="B24" s="1" t="s">
        <v>70</v>
      </c>
      <c r="C24" s="1" t="s">
        <v>71</v>
      </c>
      <c r="D24" s="1" t="s">
        <v>202</v>
      </c>
    </row>
    <row r="25" spans="1:4" x14ac:dyDescent="0.3">
      <c r="A25" s="1" t="s">
        <v>72</v>
      </c>
      <c r="B25" s="1" t="s">
        <v>73</v>
      </c>
      <c r="C25" s="1" t="s">
        <v>64</v>
      </c>
      <c r="D25" s="1" t="s">
        <v>68</v>
      </c>
    </row>
    <row r="26" spans="1:4" x14ac:dyDescent="0.3">
      <c r="A26" s="1" t="s">
        <v>74</v>
      </c>
      <c r="B26" s="1" t="s">
        <v>75</v>
      </c>
      <c r="C26" s="1">
        <v>0</v>
      </c>
      <c r="D26" s="1" t="s">
        <v>82</v>
      </c>
    </row>
    <row r="27" spans="1:4" x14ac:dyDescent="0.3">
      <c r="A27" s="1" t="s">
        <v>76</v>
      </c>
      <c r="B27" s="1" t="s">
        <v>77</v>
      </c>
      <c r="C27" s="1">
        <v>0</v>
      </c>
      <c r="D27" s="1" t="s">
        <v>82</v>
      </c>
    </row>
    <row r="28" spans="1:4" x14ac:dyDescent="0.3">
      <c r="A28" s="1" t="s">
        <v>78</v>
      </c>
      <c r="B28" s="1" t="s">
        <v>79</v>
      </c>
      <c r="C28" s="1">
        <v>0</v>
      </c>
      <c r="D28" s="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92C3-7899-49F2-9291-8390594A0B44}">
  <dimension ref="A1:J102"/>
  <sheetViews>
    <sheetView zoomScale="110" zoomScaleNormal="110" workbookViewId="0"/>
  </sheetViews>
  <sheetFormatPr defaultRowHeight="14.4" x14ac:dyDescent="0.3"/>
  <cols>
    <col min="2" max="2" width="11.5546875" style="12" customWidth="1"/>
    <col min="3" max="3" width="11.44140625" customWidth="1"/>
    <col min="4" max="4" width="14" style="8" customWidth="1"/>
    <col min="5" max="5" width="16" customWidth="1"/>
    <col min="6" max="6" width="13.33203125" style="9" customWidth="1"/>
    <col min="7" max="7" width="8.33203125" customWidth="1"/>
    <col min="8" max="8" width="5.5546875" customWidth="1"/>
    <col min="9" max="9" width="6.77734375" customWidth="1"/>
    <col min="10" max="10" width="5.5546875" customWidth="1"/>
    <col min="13" max="13" width="11.6640625" customWidth="1"/>
    <col min="14" max="14" width="6.77734375" customWidth="1"/>
  </cols>
  <sheetData>
    <row r="1" spans="1:10" ht="18" x14ac:dyDescent="0.35">
      <c r="A1" s="4" t="s">
        <v>84</v>
      </c>
      <c r="B1" s="5" t="s">
        <v>85</v>
      </c>
      <c r="C1" s="4" t="s">
        <v>86</v>
      </c>
      <c r="D1" s="4" t="s">
        <v>87</v>
      </c>
      <c r="E1" s="6"/>
      <c r="F1" s="7"/>
      <c r="G1" s="6"/>
    </row>
    <row r="2" spans="1:10" x14ac:dyDescent="0.3">
      <c r="A2" s="1">
        <v>0</v>
      </c>
      <c r="B2" s="8">
        <v>100000</v>
      </c>
      <c r="C2" s="1">
        <f>1-D2</f>
        <v>1.7340000000000022E-2</v>
      </c>
      <c r="D2" s="1">
        <f>B3/B2</f>
        <v>0.98265999999999998</v>
      </c>
      <c r="E2" s="9"/>
      <c r="F2" s="10" t="s">
        <v>84</v>
      </c>
      <c r="G2" s="14" t="s">
        <v>88</v>
      </c>
      <c r="H2" s="14"/>
      <c r="I2" s="14"/>
      <c r="J2" s="14"/>
    </row>
    <row r="3" spans="1:10" x14ac:dyDescent="0.3">
      <c r="A3" s="1">
        <v>1</v>
      </c>
      <c r="B3" s="1">
        <v>98266</v>
      </c>
      <c r="C3" s="1">
        <f t="shared" ref="C3:C66" si="0">1-D3</f>
        <v>1.2415280972055687E-3</v>
      </c>
      <c r="D3" s="1">
        <f t="shared" ref="D3:D66" si="1">B4/B3</f>
        <v>0.99875847190279443</v>
      </c>
      <c r="E3" s="9"/>
      <c r="F3" s="11" t="s">
        <v>86</v>
      </c>
      <c r="G3" s="14" t="s">
        <v>89</v>
      </c>
      <c r="H3" s="14"/>
      <c r="I3" s="14"/>
      <c r="J3" s="14"/>
    </row>
    <row r="4" spans="1:10" x14ac:dyDescent="0.3">
      <c r="A4" s="1">
        <v>2</v>
      </c>
      <c r="B4" s="1">
        <v>98144</v>
      </c>
      <c r="C4" s="1">
        <f t="shared" si="0"/>
        <v>9.3739810890125508E-4</v>
      </c>
      <c r="D4" s="1">
        <f t="shared" si="1"/>
        <v>0.99906260189109874</v>
      </c>
      <c r="E4" s="9"/>
      <c r="F4" s="10" t="s">
        <v>87</v>
      </c>
      <c r="G4" s="14" t="s">
        <v>90</v>
      </c>
      <c r="H4" s="14"/>
      <c r="I4" s="14"/>
      <c r="J4" s="14"/>
    </row>
    <row r="5" spans="1:10" x14ac:dyDescent="0.3">
      <c r="A5" s="1">
        <v>3</v>
      </c>
      <c r="B5" s="1">
        <v>98052</v>
      </c>
      <c r="C5" s="1">
        <f t="shared" si="0"/>
        <v>7.9549626728669942E-4</v>
      </c>
      <c r="D5" s="1">
        <f t="shared" si="1"/>
        <v>0.9992045037327133</v>
      </c>
      <c r="E5" s="9"/>
      <c r="F5" s="10" t="s">
        <v>85</v>
      </c>
      <c r="G5" s="14" t="s">
        <v>91</v>
      </c>
      <c r="H5" s="14"/>
      <c r="I5" s="14"/>
      <c r="J5" s="14"/>
    </row>
    <row r="6" spans="1:10" x14ac:dyDescent="0.3">
      <c r="A6" s="1">
        <v>4</v>
      </c>
      <c r="B6" s="1">
        <v>97974</v>
      </c>
      <c r="C6" s="1">
        <f t="shared" si="0"/>
        <v>7.2468205850528822E-4</v>
      </c>
      <c r="D6" s="1">
        <f t="shared" si="1"/>
        <v>0.99927531794149471</v>
      </c>
      <c r="E6" s="9"/>
    </row>
    <row r="7" spans="1:10" x14ac:dyDescent="0.3">
      <c r="A7" s="1">
        <v>5</v>
      </c>
      <c r="B7" s="1">
        <v>97903</v>
      </c>
      <c r="C7" s="1">
        <f t="shared" si="0"/>
        <v>6.5370826225963352E-4</v>
      </c>
      <c r="D7" s="1">
        <f t="shared" si="1"/>
        <v>0.99934629173774037</v>
      </c>
      <c r="E7" s="9"/>
    </row>
    <row r="8" spans="1:10" x14ac:dyDescent="0.3">
      <c r="A8" s="1">
        <v>6</v>
      </c>
      <c r="B8" s="1">
        <v>97839</v>
      </c>
      <c r="C8" s="1">
        <f t="shared" si="0"/>
        <v>6.0303151095164598E-4</v>
      </c>
      <c r="D8" s="1">
        <f t="shared" si="1"/>
        <v>0.99939696848904835</v>
      </c>
      <c r="E8" s="9"/>
    </row>
    <row r="9" spans="1:10" x14ac:dyDescent="0.3">
      <c r="A9" s="1">
        <v>7</v>
      </c>
      <c r="B9" s="1">
        <v>97780</v>
      </c>
      <c r="C9" s="1">
        <f t="shared" si="0"/>
        <v>5.8294129678870821E-4</v>
      </c>
      <c r="D9" s="1">
        <f t="shared" si="1"/>
        <v>0.99941705870321129</v>
      </c>
      <c r="E9" s="9"/>
    </row>
    <row r="10" spans="1:10" x14ac:dyDescent="0.3">
      <c r="A10" s="1">
        <v>8</v>
      </c>
      <c r="B10" s="1">
        <v>97723</v>
      </c>
      <c r="C10" s="1">
        <f t="shared" si="0"/>
        <v>5.4234929341101523E-4</v>
      </c>
      <c r="D10" s="1">
        <f t="shared" si="1"/>
        <v>0.99945765070658898</v>
      </c>
      <c r="E10" s="9"/>
      <c r="G10" s="9"/>
    </row>
    <row r="11" spans="1:10" x14ac:dyDescent="0.3">
      <c r="A11" s="1">
        <v>9</v>
      </c>
      <c r="B11" s="1">
        <v>97670</v>
      </c>
      <c r="C11" s="1">
        <f t="shared" si="0"/>
        <v>5.3240503737073119E-4</v>
      </c>
      <c r="D11" s="1">
        <f t="shared" si="1"/>
        <v>0.99946759496262927</v>
      </c>
      <c r="E11" s="9"/>
      <c r="G11" s="9"/>
    </row>
    <row r="12" spans="1:10" x14ac:dyDescent="0.3">
      <c r="A12" s="1">
        <v>10</v>
      </c>
      <c r="B12" s="1">
        <v>97618</v>
      </c>
      <c r="C12" s="1">
        <f t="shared" si="0"/>
        <v>5.3268864348787748E-4</v>
      </c>
      <c r="D12" s="1">
        <f t="shared" si="1"/>
        <v>0.99946731135651212</v>
      </c>
      <c r="E12" s="9"/>
      <c r="G12" s="9"/>
    </row>
    <row r="13" spans="1:10" x14ac:dyDescent="0.3">
      <c r="A13" s="1">
        <v>11</v>
      </c>
      <c r="B13" s="1">
        <v>97566</v>
      </c>
      <c r="C13" s="1">
        <f t="shared" si="0"/>
        <v>5.3297255191353532E-4</v>
      </c>
      <c r="D13" s="1">
        <f t="shared" si="1"/>
        <v>0.99946702744808646</v>
      </c>
      <c r="E13" s="9"/>
      <c r="G13" s="9"/>
    </row>
    <row r="14" spans="1:10" x14ac:dyDescent="0.3">
      <c r="A14" s="1">
        <v>12</v>
      </c>
      <c r="B14" s="1">
        <v>97514</v>
      </c>
      <c r="C14" s="1">
        <f t="shared" si="0"/>
        <v>5.3325676313142889E-4</v>
      </c>
      <c r="D14" s="1">
        <f t="shared" si="1"/>
        <v>0.99946674323686857</v>
      </c>
      <c r="E14" s="9"/>
      <c r="G14" s="9"/>
    </row>
    <row r="15" spans="1:10" x14ac:dyDescent="0.3">
      <c r="A15" s="1">
        <v>13</v>
      </c>
      <c r="B15" s="1">
        <v>97462</v>
      </c>
      <c r="C15" s="1">
        <f t="shared" si="0"/>
        <v>5.7458291436662812E-4</v>
      </c>
      <c r="D15" s="1">
        <f t="shared" si="1"/>
        <v>0.99942541708563337</v>
      </c>
      <c r="E15" s="9"/>
      <c r="G15" s="9"/>
    </row>
    <row r="16" spans="1:10" x14ac:dyDescent="0.3">
      <c r="A16" s="1">
        <v>14</v>
      </c>
      <c r="B16" s="1">
        <v>97406</v>
      </c>
      <c r="C16" s="1">
        <f t="shared" si="0"/>
        <v>5.9544586575777103E-4</v>
      </c>
      <c r="D16" s="1">
        <f t="shared" si="1"/>
        <v>0.99940455413424223</v>
      </c>
      <c r="E16" s="9"/>
      <c r="G16" s="9"/>
    </row>
    <row r="17" spans="1:7" x14ac:dyDescent="0.3">
      <c r="A17" s="1">
        <v>15</v>
      </c>
      <c r="B17" s="1">
        <v>97348</v>
      </c>
      <c r="C17" s="1">
        <f t="shared" si="0"/>
        <v>6.5743518100014331E-4</v>
      </c>
      <c r="D17" s="1">
        <f t="shared" si="1"/>
        <v>0.99934256481899986</v>
      </c>
      <c r="E17" s="9"/>
      <c r="G17" s="9"/>
    </row>
    <row r="18" spans="1:7" x14ac:dyDescent="0.3">
      <c r="A18" s="1">
        <v>16</v>
      </c>
      <c r="B18" s="1">
        <v>97284</v>
      </c>
      <c r="C18" s="1">
        <f t="shared" si="0"/>
        <v>6.9898441675919631E-4</v>
      </c>
      <c r="D18" s="1">
        <f t="shared" si="1"/>
        <v>0.9993010155832408</v>
      </c>
      <c r="E18" s="9"/>
      <c r="G18" s="9"/>
    </row>
    <row r="19" spans="1:7" x14ac:dyDescent="0.3">
      <c r="A19" s="1">
        <v>17</v>
      </c>
      <c r="B19" s="1">
        <v>97216</v>
      </c>
      <c r="C19" s="1">
        <f t="shared" si="0"/>
        <v>7.6119157340359678E-4</v>
      </c>
      <c r="D19" s="1">
        <f t="shared" si="1"/>
        <v>0.9992388084265964</v>
      </c>
      <c r="E19" s="9"/>
      <c r="G19" s="9"/>
    </row>
    <row r="20" spans="1:7" x14ac:dyDescent="0.3">
      <c r="A20" s="1">
        <v>18</v>
      </c>
      <c r="B20" s="1">
        <v>97142</v>
      </c>
      <c r="C20" s="1">
        <f t="shared" si="0"/>
        <v>8.1324246978653481E-4</v>
      </c>
      <c r="D20" s="1">
        <f t="shared" si="1"/>
        <v>0.99918675753021347</v>
      </c>
      <c r="E20" s="9"/>
      <c r="G20" s="9"/>
    </row>
    <row r="21" spans="1:7" x14ac:dyDescent="0.3">
      <c r="A21" s="1">
        <v>19</v>
      </c>
      <c r="B21" s="1">
        <v>97063</v>
      </c>
      <c r="C21" s="1">
        <f t="shared" si="0"/>
        <v>8.7571989326518107E-4</v>
      </c>
      <c r="D21" s="1">
        <f t="shared" si="1"/>
        <v>0.99912428010673482</v>
      </c>
      <c r="E21" s="9"/>
      <c r="G21" s="9"/>
    </row>
    <row r="22" spans="1:7" x14ac:dyDescent="0.3">
      <c r="A22" s="1">
        <v>20</v>
      </c>
      <c r="B22" s="1">
        <v>96978</v>
      </c>
      <c r="C22" s="1">
        <f t="shared" si="0"/>
        <v>9.2804553610092988E-4</v>
      </c>
      <c r="D22" s="1">
        <f t="shared" si="1"/>
        <v>0.99907195446389907</v>
      </c>
      <c r="E22" s="9"/>
      <c r="G22" s="9"/>
    </row>
    <row r="23" spans="1:7" x14ac:dyDescent="0.3">
      <c r="A23" s="1">
        <v>21</v>
      </c>
      <c r="B23" s="1">
        <v>96888</v>
      </c>
      <c r="C23" s="1">
        <f t="shared" si="0"/>
        <v>9.9083477830075317E-4</v>
      </c>
      <c r="D23" s="1">
        <f t="shared" si="1"/>
        <v>0.99900916522169925</v>
      </c>
      <c r="E23" s="9"/>
      <c r="G23" s="9"/>
    </row>
    <row r="24" spans="1:7" x14ac:dyDescent="0.3">
      <c r="A24" s="1">
        <v>22</v>
      </c>
      <c r="B24" s="1">
        <v>96792</v>
      </c>
      <c r="C24" s="1">
        <f t="shared" si="0"/>
        <v>1.0434746673279038E-3</v>
      </c>
      <c r="D24" s="1">
        <f t="shared" si="1"/>
        <v>0.9989565253326721</v>
      </c>
      <c r="E24" s="9"/>
      <c r="G24" s="9"/>
    </row>
    <row r="25" spans="1:7" x14ac:dyDescent="0.3">
      <c r="A25" s="1">
        <v>23</v>
      </c>
      <c r="B25" s="1">
        <v>96691</v>
      </c>
      <c r="C25" s="1">
        <f t="shared" si="0"/>
        <v>1.0859335408672788E-3</v>
      </c>
      <c r="D25" s="1">
        <f t="shared" si="1"/>
        <v>0.99891406645913272</v>
      </c>
      <c r="E25" s="9"/>
      <c r="G25" s="9"/>
    </row>
    <row r="26" spans="1:7" x14ac:dyDescent="0.3">
      <c r="A26" s="1">
        <v>24</v>
      </c>
      <c r="B26" s="1">
        <v>96586</v>
      </c>
      <c r="C26" s="1">
        <f t="shared" si="0"/>
        <v>1.1285279440084173E-3</v>
      </c>
      <c r="D26" s="1">
        <f t="shared" si="1"/>
        <v>0.99887147205599158</v>
      </c>
      <c r="E26" s="9"/>
      <c r="G26" s="9"/>
    </row>
    <row r="27" spans="1:7" x14ac:dyDescent="0.3">
      <c r="A27" s="1">
        <v>25</v>
      </c>
      <c r="B27" s="1">
        <v>96477</v>
      </c>
      <c r="C27" s="1">
        <f t="shared" si="0"/>
        <v>1.1816287819894633E-3</v>
      </c>
      <c r="D27" s="1">
        <f t="shared" si="1"/>
        <v>0.99881837121801054</v>
      </c>
      <c r="E27" s="9"/>
      <c r="G27" s="9"/>
    </row>
    <row r="28" spans="1:7" x14ac:dyDescent="0.3">
      <c r="A28" s="1">
        <v>26</v>
      </c>
      <c r="B28" s="1">
        <v>96363</v>
      </c>
      <c r="C28" s="1">
        <f t="shared" si="0"/>
        <v>1.1934041073856649E-3</v>
      </c>
      <c r="D28" s="1">
        <f t="shared" si="1"/>
        <v>0.99880659589261434</v>
      </c>
      <c r="E28" s="9"/>
      <c r="G28" s="9"/>
    </row>
    <row r="29" spans="1:7" x14ac:dyDescent="0.3">
      <c r="A29" s="1">
        <v>27</v>
      </c>
      <c r="B29" s="1">
        <v>96248</v>
      </c>
      <c r="C29" s="1">
        <f t="shared" si="0"/>
        <v>1.2259995012883218E-3</v>
      </c>
      <c r="D29" s="1">
        <f t="shared" si="1"/>
        <v>0.99877400049871168</v>
      </c>
      <c r="E29" s="9"/>
      <c r="G29" s="9"/>
    </row>
    <row r="30" spans="1:7" x14ac:dyDescent="0.3">
      <c r="A30" s="1">
        <v>28</v>
      </c>
      <c r="B30" s="1">
        <v>96130</v>
      </c>
      <c r="C30" s="1">
        <f t="shared" si="0"/>
        <v>1.2691147404556569E-3</v>
      </c>
      <c r="D30" s="1">
        <f t="shared" si="1"/>
        <v>0.99873088525954434</v>
      </c>
      <c r="E30" s="9"/>
      <c r="G30" s="9"/>
    </row>
    <row r="31" spans="1:7" x14ac:dyDescent="0.3">
      <c r="A31" s="1">
        <v>29</v>
      </c>
      <c r="B31" s="1">
        <v>96008</v>
      </c>
      <c r="C31" s="1">
        <f t="shared" si="0"/>
        <v>1.2915590367469365E-3</v>
      </c>
      <c r="D31" s="1">
        <f t="shared" si="1"/>
        <v>0.99870844096325306</v>
      </c>
      <c r="E31" s="9"/>
      <c r="G31" s="9"/>
    </row>
    <row r="32" spans="1:7" x14ac:dyDescent="0.3">
      <c r="A32" s="1">
        <v>30</v>
      </c>
      <c r="B32" s="1">
        <v>95884</v>
      </c>
      <c r="C32" s="1">
        <f t="shared" si="0"/>
        <v>1.314087856159496E-3</v>
      </c>
      <c r="D32" s="1">
        <f t="shared" si="1"/>
        <v>0.9986859121438405</v>
      </c>
      <c r="E32" s="9"/>
      <c r="G32" s="9"/>
    </row>
    <row r="33" spans="1:7" x14ac:dyDescent="0.3">
      <c r="A33" s="1">
        <v>31</v>
      </c>
      <c r="B33" s="1">
        <v>95758</v>
      </c>
      <c r="C33" s="1">
        <f t="shared" si="0"/>
        <v>1.3367029386578411E-3</v>
      </c>
      <c r="D33" s="1">
        <f t="shared" si="1"/>
        <v>0.99866329706134216</v>
      </c>
      <c r="E33" s="9"/>
      <c r="G33" s="9"/>
    </row>
    <row r="34" spans="1:7" x14ac:dyDescent="0.3">
      <c r="A34" s="1">
        <v>32</v>
      </c>
      <c r="B34" s="1">
        <v>95630</v>
      </c>
      <c r="C34" s="1">
        <f t="shared" si="0"/>
        <v>1.3803199832688184E-3</v>
      </c>
      <c r="D34" s="1">
        <f t="shared" si="1"/>
        <v>0.99861968001673118</v>
      </c>
      <c r="E34" s="9"/>
      <c r="G34" s="9"/>
    </row>
    <row r="35" spans="1:7" x14ac:dyDescent="0.3">
      <c r="A35" s="1">
        <v>33</v>
      </c>
      <c r="B35" s="1">
        <v>95498</v>
      </c>
      <c r="C35" s="1">
        <f t="shared" si="0"/>
        <v>1.4031707470313348E-3</v>
      </c>
      <c r="D35" s="1">
        <f t="shared" si="1"/>
        <v>0.99859682925296867</v>
      </c>
      <c r="E35" s="9"/>
      <c r="G35" s="9"/>
    </row>
    <row r="36" spans="1:7" x14ac:dyDescent="0.3">
      <c r="A36" s="1">
        <v>34</v>
      </c>
      <c r="B36" s="1">
        <v>95364</v>
      </c>
      <c r="C36" s="1">
        <f t="shared" si="0"/>
        <v>1.4261146763977495E-3</v>
      </c>
      <c r="D36" s="1">
        <f t="shared" si="1"/>
        <v>0.99857388532360225</v>
      </c>
      <c r="E36" s="9"/>
      <c r="G36" s="9"/>
    </row>
    <row r="37" spans="1:7" x14ac:dyDescent="0.3">
      <c r="A37" s="1">
        <v>35</v>
      </c>
      <c r="B37" s="1">
        <v>95228</v>
      </c>
      <c r="C37" s="1">
        <f t="shared" si="0"/>
        <v>1.4911580627546828E-3</v>
      </c>
      <c r="D37" s="1">
        <f t="shared" si="1"/>
        <v>0.99850884193724532</v>
      </c>
      <c r="E37" s="9"/>
      <c r="G37" s="9"/>
    </row>
    <row r="38" spans="1:7" x14ac:dyDescent="0.3">
      <c r="A38" s="1">
        <v>36</v>
      </c>
      <c r="B38" s="1">
        <v>95086</v>
      </c>
      <c r="C38" s="1">
        <f t="shared" si="0"/>
        <v>1.5249353217087203E-3</v>
      </c>
      <c r="D38" s="1">
        <f t="shared" si="1"/>
        <v>0.99847506467829128</v>
      </c>
      <c r="E38" s="9"/>
      <c r="G38" s="9"/>
    </row>
    <row r="39" spans="1:7" x14ac:dyDescent="0.3">
      <c r="A39" s="1">
        <v>37</v>
      </c>
      <c r="B39" s="1">
        <v>94941</v>
      </c>
      <c r="C39" s="1">
        <f t="shared" si="0"/>
        <v>1.5904614444760545E-3</v>
      </c>
      <c r="D39" s="1">
        <f t="shared" si="1"/>
        <v>0.99840953855552395</v>
      </c>
      <c r="E39" s="9"/>
      <c r="G39" s="9"/>
    </row>
    <row r="40" spans="1:7" x14ac:dyDescent="0.3">
      <c r="A40" s="1">
        <v>38</v>
      </c>
      <c r="B40" s="1">
        <v>94790</v>
      </c>
      <c r="C40" s="1">
        <f t="shared" si="0"/>
        <v>1.6457432218588419E-3</v>
      </c>
      <c r="D40" s="1">
        <f t="shared" si="1"/>
        <v>0.99835425677814116</v>
      </c>
      <c r="E40" s="9"/>
      <c r="G40" s="9"/>
    </row>
    <row r="41" spans="1:7" x14ac:dyDescent="0.3">
      <c r="A41" s="1">
        <v>39</v>
      </c>
      <c r="B41" s="1">
        <v>94634</v>
      </c>
      <c r="C41" s="1">
        <f t="shared" si="0"/>
        <v>1.7435593972567887E-3</v>
      </c>
      <c r="D41" s="1">
        <f t="shared" si="1"/>
        <v>0.99825644060274321</v>
      </c>
      <c r="E41" s="9"/>
      <c r="G41" s="9"/>
    </row>
    <row r="42" spans="1:7" x14ac:dyDescent="0.3">
      <c r="A42" s="1">
        <v>40</v>
      </c>
      <c r="B42" s="1">
        <v>94469</v>
      </c>
      <c r="C42" s="1">
        <f t="shared" si="0"/>
        <v>1.8207030877853692E-3</v>
      </c>
      <c r="D42" s="1">
        <f t="shared" si="1"/>
        <v>0.99817929691221463</v>
      </c>
      <c r="E42" s="9"/>
      <c r="G42" s="9"/>
    </row>
    <row r="43" spans="1:7" x14ac:dyDescent="0.3">
      <c r="A43" s="1">
        <v>41</v>
      </c>
      <c r="B43" s="1">
        <v>94297</v>
      </c>
      <c r="C43" s="1">
        <f t="shared" si="0"/>
        <v>1.9300720065325017E-3</v>
      </c>
      <c r="D43" s="1">
        <f t="shared" si="1"/>
        <v>0.9980699279934675</v>
      </c>
      <c r="E43" s="9"/>
      <c r="G43" s="9"/>
    </row>
    <row r="44" spans="1:7" x14ac:dyDescent="0.3">
      <c r="A44" s="1">
        <v>42</v>
      </c>
      <c r="B44" s="1">
        <v>94115</v>
      </c>
      <c r="C44" s="1">
        <f t="shared" si="0"/>
        <v>2.0506826754502772E-3</v>
      </c>
      <c r="D44" s="1">
        <f t="shared" si="1"/>
        <v>0.99794931732454972</v>
      </c>
      <c r="E44" s="9"/>
      <c r="G44" s="9"/>
    </row>
    <row r="45" spans="1:7" x14ac:dyDescent="0.3">
      <c r="A45" s="1">
        <v>43</v>
      </c>
      <c r="B45" s="1">
        <v>93922</v>
      </c>
      <c r="C45" s="1">
        <f t="shared" si="0"/>
        <v>2.172015076339906E-3</v>
      </c>
      <c r="D45" s="1">
        <f t="shared" si="1"/>
        <v>0.99782798492366009</v>
      </c>
      <c r="E45" s="9"/>
      <c r="G45" s="9"/>
    </row>
    <row r="46" spans="1:7" x14ac:dyDescent="0.3">
      <c r="A46" s="1">
        <v>44</v>
      </c>
      <c r="B46" s="1">
        <v>93718</v>
      </c>
      <c r="C46" s="1">
        <f t="shared" si="0"/>
        <v>2.3367976269232926E-3</v>
      </c>
      <c r="D46" s="1">
        <f t="shared" si="1"/>
        <v>0.99766320237307671</v>
      </c>
      <c r="E46" s="9"/>
      <c r="G46" s="9"/>
    </row>
    <row r="47" spans="1:7" x14ac:dyDescent="0.3">
      <c r="A47" s="1">
        <v>45</v>
      </c>
      <c r="B47" s="1">
        <v>93499</v>
      </c>
      <c r="C47" s="1">
        <f t="shared" si="0"/>
        <v>2.5240911667504529E-3</v>
      </c>
      <c r="D47" s="1">
        <f t="shared" si="1"/>
        <v>0.99747590883324955</v>
      </c>
      <c r="E47" s="9"/>
      <c r="G47" s="9"/>
    </row>
    <row r="48" spans="1:7" x14ac:dyDescent="0.3">
      <c r="A48" s="1">
        <v>46</v>
      </c>
      <c r="B48" s="1">
        <v>93263</v>
      </c>
      <c r="C48" s="1">
        <f t="shared" si="0"/>
        <v>2.7127585430449797E-3</v>
      </c>
      <c r="D48" s="1">
        <f t="shared" si="1"/>
        <v>0.99728724145695502</v>
      </c>
      <c r="E48" s="9"/>
      <c r="G48" s="9"/>
    </row>
    <row r="49" spans="1:7" x14ac:dyDescent="0.3">
      <c r="A49" s="1">
        <v>47</v>
      </c>
      <c r="B49" s="1">
        <v>93010</v>
      </c>
      <c r="C49" s="1">
        <f t="shared" si="0"/>
        <v>2.9351682614772168E-3</v>
      </c>
      <c r="D49" s="1">
        <f t="shared" si="1"/>
        <v>0.99706483173852278</v>
      </c>
      <c r="E49" s="9"/>
      <c r="G49" s="9"/>
    </row>
    <row r="50" spans="1:7" x14ac:dyDescent="0.3">
      <c r="A50" s="1">
        <v>48</v>
      </c>
      <c r="B50" s="1">
        <v>92737</v>
      </c>
      <c r="C50" s="1">
        <f t="shared" si="0"/>
        <v>3.1918220343551962E-3</v>
      </c>
      <c r="D50" s="1">
        <f t="shared" si="1"/>
        <v>0.9968081779656448</v>
      </c>
      <c r="E50" s="9"/>
      <c r="G50" s="9"/>
    </row>
    <row r="51" spans="1:7" x14ac:dyDescent="0.3">
      <c r="A51" s="1">
        <v>49</v>
      </c>
      <c r="B51" s="1">
        <v>92441</v>
      </c>
      <c r="C51" s="1">
        <f t="shared" si="0"/>
        <v>3.4724851526919398E-3</v>
      </c>
      <c r="D51" s="1">
        <f t="shared" si="1"/>
        <v>0.99652751484730806</v>
      </c>
      <c r="E51" s="9"/>
      <c r="G51" s="9"/>
    </row>
    <row r="52" spans="1:7" x14ac:dyDescent="0.3">
      <c r="A52" s="1">
        <v>50</v>
      </c>
      <c r="B52" s="1">
        <v>92120</v>
      </c>
      <c r="C52" s="1">
        <f t="shared" si="0"/>
        <v>3.7885366912722152E-3</v>
      </c>
      <c r="D52" s="1">
        <f t="shared" si="1"/>
        <v>0.99621146330872778</v>
      </c>
      <c r="E52" s="9"/>
      <c r="G52" s="9"/>
    </row>
    <row r="53" spans="1:7" x14ac:dyDescent="0.3">
      <c r="A53" s="1">
        <v>51</v>
      </c>
      <c r="B53" s="1">
        <v>91771</v>
      </c>
      <c r="C53" s="1">
        <f t="shared" si="0"/>
        <v>4.1625350056118116E-3</v>
      </c>
      <c r="D53" s="1">
        <f t="shared" si="1"/>
        <v>0.99583746499438819</v>
      </c>
      <c r="E53" s="9"/>
      <c r="G53" s="9"/>
    </row>
    <row r="54" spans="1:7" x14ac:dyDescent="0.3">
      <c r="A54" s="1">
        <v>52</v>
      </c>
      <c r="B54" s="1">
        <v>91389</v>
      </c>
      <c r="C54" s="1">
        <f t="shared" si="0"/>
        <v>4.5300856777074072E-3</v>
      </c>
      <c r="D54" s="1">
        <f t="shared" si="1"/>
        <v>0.99546991432229259</v>
      </c>
      <c r="E54" s="9"/>
      <c r="G54" s="9"/>
    </row>
    <row r="55" spans="1:7" x14ac:dyDescent="0.3">
      <c r="A55" s="1">
        <v>53</v>
      </c>
      <c r="B55" s="1">
        <v>90975</v>
      </c>
      <c r="C55" s="1">
        <f t="shared" si="0"/>
        <v>4.9793899422918564E-3</v>
      </c>
      <c r="D55" s="1">
        <f t="shared" si="1"/>
        <v>0.99502061005770814</v>
      </c>
      <c r="E55" s="9"/>
      <c r="G55" s="9"/>
    </row>
    <row r="56" spans="1:7" x14ac:dyDescent="0.3">
      <c r="A56" s="1">
        <v>54</v>
      </c>
      <c r="B56" s="1">
        <v>90522</v>
      </c>
      <c r="C56" s="1">
        <f t="shared" si="0"/>
        <v>5.4903780296502447E-3</v>
      </c>
      <c r="D56" s="1">
        <f t="shared" si="1"/>
        <v>0.99450962197034976</v>
      </c>
      <c r="E56" s="9"/>
      <c r="G56" s="9"/>
    </row>
    <row r="57" spans="1:7" x14ac:dyDescent="0.3">
      <c r="A57" s="1">
        <v>55</v>
      </c>
      <c r="B57" s="1">
        <v>90025</v>
      </c>
      <c r="C57" s="1">
        <f t="shared" si="0"/>
        <v>6.0205498472646335E-3</v>
      </c>
      <c r="D57" s="1">
        <f t="shared" si="1"/>
        <v>0.99397945015273537</v>
      </c>
      <c r="E57" s="9"/>
      <c r="G57" s="9"/>
    </row>
    <row r="58" spans="1:7" x14ac:dyDescent="0.3">
      <c r="A58" s="1">
        <v>56</v>
      </c>
      <c r="B58" s="1">
        <v>89483</v>
      </c>
      <c r="C58" s="1">
        <f t="shared" si="0"/>
        <v>6.6269570756456453E-3</v>
      </c>
      <c r="D58" s="1">
        <f t="shared" si="1"/>
        <v>0.99337304292435435</v>
      </c>
      <c r="E58" s="9"/>
      <c r="G58" s="9"/>
    </row>
    <row r="59" spans="1:7" x14ac:dyDescent="0.3">
      <c r="A59" s="1">
        <v>57</v>
      </c>
      <c r="B59" s="1">
        <v>88890</v>
      </c>
      <c r="C59" s="1">
        <f t="shared" si="0"/>
        <v>7.3236584542692995E-3</v>
      </c>
      <c r="D59" s="1">
        <f t="shared" si="1"/>
        <v>0.9926763415457307</v>
      </c>
      <c r="E59" s="9"/>
      <c r="G59" s="9"/>
    </row>
    <row r="60" spans="1:7" x14ac:dyDescent="0.3">
      <c r="A60" s="1">
        <v>58</v>
      </c>
      <c r="B60" s="1">
        <v>88239</v>
      </c>
      <c r="C60" s="1">
        <f t="shared" si="0"/>
        <v>8.0463287208604184E-3</v>
      </c>
      <c r="D60" s="1">
        <f t="shared" si="1"/>
        <v>0.99195367127913958</v>
      </c>
      <c r="E60" s="9"/>
      <c r="G60" s="9"/>
    </row>
    <row r="61" spans="1:7" x14ac:dyDescent="0.3">
      <c r="A61" s="1">
        <v>59</v>
      </c>
      <c r="B61" s="1">
        <v>87529</v>
      </c>
      <c r="C61" s="1">
        <f t="shared" si="0"/>
        <v>8.9113322441705112E-3</v>
      </c>
      <c r="D61" s="1">
        <f t="shared" si="1"/>
        <v>0.99108866775582949</v>
      </c>
      <c r="E61" s="9"/>
      <c r="G61" s="9"/>
    </row>
    <row r="62" spans="1:7" x14ac:dyDescent="0.3">
      <c r="A62" s="1">
        <v>60</v>
      </c>
      <c r="B62" s="1">
        <v>86749</v>
      </c>
      <c r="C62" s="1">
        <f t="shared" si="0"/>
        <v>9.809911353445E-3</v>
      </c>
      <c r="D62" s="1">
        <f t="shared" si="1"/>
        <v>0.990190088646555</v>
      </c>
      <c r="E62" s="9"/>
      <c r="G62" s="9"/>
    </row>
    <row r="63" spans="1:7" x14ac:dyDescent="0.3">
      <c r="A63" s="1">
        <v>61</v>
      </c>
      <c r="B63" s="1">
        <v>85898</v>
      </c>
      <c r="C63" s="1">
        <f t="shared" si="0"/>
        <v>1.0850077999487784E-2</v>
      </c>
      <c r="D63" s="1">
        <f t="shared" si="1"/>
        <v>0.98914992200051222</v>
      </c>
      <c r="E63" s="9"/>
      <c r="G63" s="9"/>
    </row>
    <row r="64" spans="1:7" x14ac:dyDescent="0.3">
      <c r="A64" s="1">
        <v>62</v>
      </c>
      <c r="B64" s="1">
        <v>84966</v>
      </c>
      <c r="C64" s="1">
        <f t="shared" si="0"/>
        <v>1.1981263093472694E-2</v>
      </c>
      <c r="D64" s="1">
        <f t="shared" si="1"/>
        <v>0.98801873690652731</v>
      </c>
      <c r="E64" s="9"/>
      <c r="G64" s="9"/>
    </row>
    <row r="65" spans="1:7" x14ac:dyDescent="0.3">
      <c r="A65" s="1">
        <v>63</v>
      </c>
      <c r="B65" s="1">
        <v>83948</v>
      </c>
      <c r="C65" s="1">
        <f t="shared" si="0"/>
        <v>1.3234383189593579E-2</v>
      </c>
      <c r="D65" s="1">
        <f t="shared" si="1"/>
        <v>0.98676561681040642</v>
      </c>
      <c r="E65" s="9"/>
      <c r="G65" s="9"/>
    </row>
    <row r="66" spans="1:7" x14ac:dyDescent="0.3">
      <c r="A66" s="1">
        <v>64</v>
      </c>
      <c r="B66" s="1">
        <v>82837</v>
      </c>
      <c r="C66" s="1">
        <f t="shared" si="0"/>
        <v>1.464321498847132E-2</v>
      </c>
      <c r="D66" s="1">
        <f t="shared" si="1"/>
        <v>0.98535678501152868</v>
      </c>
      <c r="E66" s="9"/>
      <c r="G66" s="9"/>
    </row>
    <row r="67" spans="1:7" x14ac:dyDescent="0.3">
      <c r="A67" s="1">
        <v>65</v>
      </c>
      <c r="B67" s="1">
        <v>81624</v>
      </c>
      <c r="C67" s="1">
        <f t="shared" ref="C67:C101" si="2">1-D67</f>
        <v>1.6183965500343067E-2</v>
      </c>
      <c r="D67" s="1">
        <f t="shared" ref="D67:D101" si="3">B68/B67</f>
        <v>0.98381603449965693</v>
      </c>
      <c r="E67" s="9"/>
      <c r="G67" s="9"/>
    </row>
    <row r="68" spans="1:7" x14ac:dyDescent="0.3">
      <c r="A68" s="1">
        <v>66</v>
      </c>
      <c r="B68" s="1">
        <v>80303</v>
      </c>
      <c r="C68" s="1">
        <f t="shared" si="2"/>
        <v>1.7882270898970098E-2</v>
      </c>
      <c r="D68" s="1">
        <f t="shared" si="3"/>
        <v>0.9821177291010299</v>
      </c>
      <c r="E68" s="9"/>
      <c r="G68" s="9"/>
    </row>
    <row r="69" spans="1:7" x14ac:dyDescent="0.3">
      <c r="A69" s="1">
        <v>67</v>
      </c>
      <c r="B69" s="1">
        <v>78867</v>
      </c>
      <c r="C69" s="1">
        <f t="shared" si="2"/>
        <v>1.9767456604156353E-2</v>
      </c>
      <c r="D69" s="1">
        <f t="shared" si="3"/>
        <v>0.98023254339584365</v>
      </c>
      <c r="E69" s="9"/>
      <c r="G69" s="9"/>
    </row>
    <row r="70" spans="1:7" x14ac:dyDescent="0.3">
      <c r="A70" s="1">
        <v>68</v>
      </c>
      <c r="B70" s="1">
        <v>77308</v>
      </c>
      <c r="C70" s="1">
        <f t="shared" si="2"/>
        <v>2.1860609510011897E-2</v>
      </c>
      <c r="D70" s="1">
        <f t="shared" si="3"/>
        <v>0.9781393904899881</v>
      </c>
      <c r="E70" s="9"/>
      <c r="G70" s="9"/>
    </row>
    <row r="71" spans="1:7" x14ac:dyDescent="0.3">
      <c r="A71" s="1">
        <v>69</v>
      </c>
      <c r="B71" s="1">
        <v>75618</v>
      </c>
      <c r="C71" s="1">
        <f t="shared" si="2"/>
        <v>2.4160914068079076E-2</v>
      </c>
      <c r="D71" s="1">
        <f t="shared" si="3"/>
        <v>0.97583908593192092</v>
      </c>
      <c r="E71" s="9"/>
      <c r="G71" s="9"/>
    </row>
    <row r="72" spans="1:7" x14ac:dyDescent="0.3">
      <c r="A72" s="1">
        <v>70</v>
      </c>
      <c r="B72" s="1">
        <v>73791</v>
      </c>
      <c r="C72" s="1">
        <f t="shared" si="2"/>
        <v>2.6710574460300007E-2</v>
      </c>
      <c r="D72" s="1">
        <f t="shared" si="3"/>
        <v>0.97328942553969999</v>
      </c>
      <c r="E72" s="9"/>
      <c r="G72" s="9"/>
    </row>
    <row r="73" spans="1:7" x14ac:dyDescent="0.3">
      <c r="A73" s="1">
        <v>71</v>
      </c>
      <c r="B73" s="1">
        <v>71820</v>
      </c>
      <c r="C73" s="1">
        <f t="shared" si="2"/>
        <v>2.9518240044555832E-2</v>
      </c>
      <c r="D73" s="1">
        <f t="shared" si="3"/>
        <v>0.97048175995544417</v>
      </c>
      <c r="E73" s="9"/>
      <c r="G73" s="9"/>
    </row>
    <row r="74" spans="1:7" x14ac:dyDescent="0.3">
      <c r="A74" s="1">
        <v>72</v>
      </c>
      <c r="B74" s="1">
        <v>69700</v>
      </c>
      <c r="C74" s="1">
        <f t="shared" si="2"/>
        <v>3.2611190817790514E-2</v>
      </c>
      <c r="D74" s="1">
        <f t="shared" si="3"/>
        <v>0.96738880918220949</v>
      </c>
      <c r="E74" s="9"/>
      <c r="G74" s="9"/>
    </row>
    <row r="75" spans="1:7" x14ac:dyDescent="0.3">
      <c r="A75" s="1">
        <v>73</v>
      </c>
      <c r="B75" s="1">
        <v>67427</v>
      </c>
      <c r="C75" s="1">
        <f t="shared" si="2"/>
        <v>3.6024144630489308E-2</v>
      </c>
      <c r="D75" s="1">
        <f t="shared" si="3"/>
        <v>0.96397585536951069</v>
      </c>
      <c r="E75" s="9"/>
      <c r="G75" s="9"/>
    </row>
    <row r="76" spans="1:7" x14ac:dyDescent="0.3">
      <c r="A76" s="1">
        <v>74</v>
      </c>
      <c r="B76" s="1">
        <v>64998</v>
      </c>
      <c r="C76" s="1">
        <f t="shared" si="2"/>
        <v>3.9785839564294267E-2</v>
      </c>
      <c r="D76" s="1">
        <f t="shared" si="3"/>
        <v>0.96021416043570573</v>
      </c>
      <c r="E76" s="9"/>
      <c r="G76" s="9"/>
    </row>
    <row r="77" spans="1:7" x14ac:dyDescent="0.3">
      <c r="A77" s="1">
        <v>75</v>
      </c>
      <c r="B77" s="1">
        <v>62412</v>
      </c>
      <c r="C77" s="1">
        <f t="shared" si="2"/>
        <v>4.3917836313529413E-2</v>
      </c>
      <c r="D77" s="1">
        <f t="shared" si="3"/>
        <v>0.95608216368647059</v>
      </c>
      <c r="E77" s="9"/>
      <c r="G77" s="9"/>
    </row>
    <row r="78" spans="1:7" x14ac:dyDescent="0.3">
      <c r="A78" s="1">
        <v>76</v>
      </c>
      <c r="B78" s="1">
        <v>59671</v>
      </c>
      <c r="C78" s="1">
        <f t="shared" si="2"/>
        <v>4.8465753883796148E-2</v>
      </c>
      <c r="D78" s="1">
        <f t="shared" si="3"/>
        <v>0.95153424611620385</v>
      </c>
      <c r="E78" s="9"/>
      <c r="G78" s="9"/>
    </row>
    <row r="79" spans="1:7" x14ac:dyDescent="0.3">
      <c r="A79" s="1">
        <v>77</v>
      </c>
      <c r="B79" s="1">
        <v>56779</v>
      </c>
      <c r="C79" s="1">
        <f t="shared" si="2"/>
        <v>5.3452861093009729E-2</v>
      </c>
      <c r="D79" s="1">
        <f t="shared" si="3"/>
        <v>0.94654713890699027</v>
      </c>
      <c r="E79" s="9"/>
      <c r="G79" s="9"/>
    </row>
    <row r="80" spans="1:7" x14ac:dyDescent="0.3">
      <c r="A80" s="1">
        <v>78</v>
      </c>
      <c r="B80" s="1">
        <v>53744</v>
      </c>
      <c r="C80" s="1">
        <f t="shared" si="2"/>
        <v>5.8927508186960353E-2</v>
      </c>
      <c r="D80" s="1">
        <f t="shared" si="3"/>
        <v>0.94107249181303965</v>
      </c>
      <c r="E80" s="9"/>
      <c r="G80" s="9"/>
    </row>
    <row r="81" spans="1:7" x14ac:dyDescent="0.3">
      <c r="A81" s="1">
        <v>79</v>
      </c>
      <c r="B81" s="1">
        <v>50577</v>
      </c>
      <c r="C81" s="1">
        <f t="shared" si="2"/>
        <v>6.4930699725171515E-2</v>
      </c>
      <c r="D81" s="1">
        <f t="shared" si="3"/>
        <v>0.93506930027482849</v>
      </c>
      <c r="E81" s="9"/>
      <c r="G81" s="9"/>
    </row>
    <row r="82" spans="1:7" x14ac:dyDescent="0.3">
      <c r="A82" s="1">
        <v>80</v>
      </c>
      <c r="B82" s="1">
        <v>47293</v>
      </c>
      <c r="C82" s="1">
        <f t="shared" si="2"/>
        <v>7.1490495422155464E-2</v>
      </c>
      <c r="D82" s="1">
        <f t="shared" si="3"/>
        <v>0.92850950457784454</v>
      </c>
      <c r="E82" s="9"/>
      <c r="G82" s="9"/>
    </row>
    <row r="83" spans="1:7" x14ac:dyDescent="0.3">
      <c r="A83" s="1">
        <v>81</v>
      </c>
      <c r="B83" s="1">
        <v>43912</v>
      </c>
      <c r="C83" s="1">
        <f t="shared" si="2"/>
        <v>7.8702860265986496E-2</v>
      </c>
      <c r="D83" s="1">
        <f t="shared" si="3"/>
        <v>0.9212971397340135</v>
      </c>
      <c r="E83" s="9"/>
      <c r="G83" s="9"/>
    </row>
    <row r="84" spans="1:7" x14ac:dyDescent="0.3">
      <c r="A84" s="1">
        <v>82</v>
      </c>
      <c r="B84" s="1">
        <v>40456</v>
      </c>
      <c r="C84" s="1">
        <f t="shared" si="2"/>
        <v>8.6513743326082637E-2</v>
      </c>
      <c r="D84" s="1">
        <f t="shared" si="3"/>
        <v>0.91348625667391736</v>
      </c>
      <c r="E84" s="9"/>
      <c r="G84" s="9"/>
    </row>
    <row r="85" spans="1:7" x14ac:dyDescent="0.3">
      <c r="A85" s="1">
        <v>83</v>
      </c>
      <c r="B85" s="1">
        <v>36956</v>
      </c>
      <c r="C85" s="1">
        <f t="shared" si="2"/>
        <v>9.5058989068080968E-2</v>
      </c>
      <c r="D85" s="1">
        <f t="shared" si="3"/>
        <v>0.90494101093191903</v>
      </c>
      <c r="E85" s="9"/>
      <c r="G85" s="9"/>
    </row>
    <row r="86" spans="1:7" x14ac:dyDescent="0.3">
      <c r="A86" s="1">
        <v>84</v>
      </c>
      <c r="B86" s="1">
        <v>33443</v>
      </c>
      <c r="C86" s="1">
        <f t="shared" si="2"/>
        <v>0.10438656819065273</v>
      </c>
      <c r="D86" s="1">
        <f t="shared" si="3"/>
        <v>0.89561343180934727</v>
      </c>
      <c r="E86" s="9"/>
      <c r="G86" s="9"/>
    </row>
    <row r="87" spans="1:7" x14ac:dyDescent="0.3">
      <c r="A87" s="1">
        <v>85</v>
      </c>
      <c r="B87" s="1">
        <v>29952</v>
      </c>
      <c r="C87" s="1">
        <f t="shared" si="2"/>
        <v>0.1144163995726496</v>
      </c>
      <c r="D87" s="1">
        <f t="shared" si="3"/>
        <v>0.8855836004273504</v>
      </c>
      <c r="E87" s="9"/>
      <c r="G87" s="9"/>
    </row>
    <row r="88" spans="1:7" x14ac:dyDescent="0.3">
      <c r="A88" s="1">
        <v>86</v>
      </c>
      <c r="B88" s="1">
        <v>26525</v>
      </c>
      <c r="C88" s="1">
        <f t="shared" si="2"/>
        <v>0.12535344015080108</v>
      </c>
      <c r="D88" s="1">
        <f t="shared" si="3"/>
        <v>0.87464655984919892</v>
      </c>
      <c r="E88" s="9"/>
      <c r="G88" s="9"/>
    </row>
    <row r="89" spans="1:7" x14ac:dyDescent="0.3">
      <c r="A89" s="1">
        <v>87</v>
      </c>
      <c r="B89" s="1">
        <v>23200</v>
      </c>
      <c r="C89" s="1">
        <f t="shared" si="2"/>
        <v>0.13715517241379316</v>
      </c>
      <c r="D89" s="1">
        <f t="shared" si="3"/>
        <v>0.86284482758620684</v>
      </c>
      <c r="E89" s="9"/>
      <c r="G89" s="9"/>
    </row>
    <row r="90" spans="1:7" x14ac:dyDescent="0.3">
      <c r="A90" s="1">
        <v>88</v>
      </c>
      <c r="B90" s="1">
        <v>20018</v>
      </c>
      <c r="C90" s="1">
        <f t="shared" si="2"/>
        <v>0.14986512139074837</v>
      </c>
      <c r="D90" s="1">
        <f t="shared" si="3"/>
        <v>0.85013487860925163</v>
      </c>
      <c r="E90" s="9"/>
      <c r="G90" s="9"/>
    </row>
    <row r="91" spans="1:7" x14ac:dyDescent="0.3">
      <c r="A91" s="1">
        <v>89</v>
      </c>
      <c r="B91" s="1">
        <v>17018</v>
      </c>
      <c r="C91" s="1">
        <f t="shared" si="2"/>
        <v>0.16365025267363964</v>
      </c>
      <c r="D91" s="1">
        <f t="shared" si="3"/>
        <v>0.83634974732636036</v>
      </c>
      <c r="E91" s="9"/>
      <c r="G91" s="9"/>
    </row>
    <row r="92" spans="1:7" x14ac:dyDescent="0.3">
      <c r="A92" s="1">
        <v>90</v>
      </c>
      <c r="B92" s="1">
        <v>14233</v>
      </c>
      <c r="C92" s="1">
        <f t="shared" si="2"/>
        <v>0.17817747488231572</v>
      </c>
      <c r="D92" s="1">
        <f t="shared" si="3"/>
        <v>0.82182252511768428</v>
      </c>
      <c r="E92" s="9"/>
      <c r="G92" s="9"/>
    </row>
    <row r="93" spans="1:7" x14ac:dyDescent="0.3">
      <c r="A93" s="1">
        <v>91</v>
      </c>
      <c r="B93" s="1">
        <v>11697</v>
      </c>
      <c r="C93" s="1">
        <f t="shared" si="2"/>
        <v>0.1939813627425836</v>
      </c>
      <c r="D93" s="1">
        <f t="shared" si="3"/>
        <v>0.8060186372574164</v>
      </c>
      <c r="E93" s="9"/>
      <c r="G93" s="9"/>
    </row>
    <row r="94" spans="1:7" x14ac:dyDescent="0.3">
      <c r="A94" s="1">
        <v>92</v>
      </c>
      <c r="B94" s="1">
        <v>9428</v>
      </c>
      <c r="C94" s="1">
        <f t="shared" si="2"/>
        <v>0.21064913025031817</v>
      </c>
      <c r="D94" s="1">
        <f t="shared" si="3"/>
        <v>0.78935086974968183</v>
      </c>
      <c r="E94" s="9"/>
      <c r="G94" s="9"/>
    </row>
    <row r="95" spans="1:7" x14ac:dyDescent="0.3">
      <c r="A95" s="1">
        <v>93</v>
      </c>
      <c r="B95" s="1">
        <v>7442</v>
      </c>
      <c r="C95" s="1">
        <f t="shared" si="2"/>
        <v>0.22843321687718354</v>
      </c>
      <c r="D95" s="1">
        <f t="shared" si="3"/>
        <v>0.77156678312281646</v>
      </c>
      <c r="E95" s="9"/>
      <c r="G95" s="9"/>
    </row>
    <row r="96" spans="1:7" x14ac:dyDescent="0.3">
      <c r="A96" s="1">
        <v>94</v>
      </c>
      <c r="B96" s="1">
        <v>5742</v>
      </c>
      <c r="C96" s="1">
        <f t="shared" si="2"/>
        <v>0.24712643678160917</v>
      </c>
      <c r="D96" s="1">
        <f t="shared" si="3"/>
        <v>0.75287356321839083</v>
      </c>
      <c r="E96" s="9"/>
      <c r="G96" s="9"/>
    </row>
    <row r="97" spans="1:7" x14ac:dyDescent="0.3">
      <c r="A97" s="1">
        <v>95</v>
      </c>
      <c r="B97" s="1">
        <v>4323</v>
      </c>
      <c r="C97" s="1">
        <f t="shared" si="2"/>
        <v>0.26694425167707614</v>
      </c>
      <c r="D97" s="1">
        <f t="shared" si="3"/>
        <v>0.73305574832292386</v>
      </c>
      <c r="E97" s="9"/>
      <c r="G97" s="9"/>
    </row>
    <row r="98" spans="1:7" x14ac:dyDescent="0.3">
      <c r="A98" s="1">
        <v>96</v>
      </c>
      <c r="B98" s="1">
        <v>3169</v>
      </c>
      <c r="C98" s="1">
        <f t="shared" si="2"/>
        <v>0.28778794572420319</v>
      </c>
      <c r="D98" s="1">
        <f t="shared" si="3"/>
        <v>0.71221205427579681</v>
      </c>
      <c r="E98" s="9"/>
      <c r="G98" s="9"/>
    </row>
    <row r="99" spans="1:7" x14ac:dyDescent="0.3">
      <c r="A99" s="1">
        <v>97</v>
      </c>
      <c r="B99" s="1">
        <v>2257</v>
      </c>
      <c r="C99" s="1">
        <f t="shared" si="2"/>
        <v>0.30926007975188308</v>
      </c>
      <c r="D99" s="1">
        <f t="shared" si="3"/>
        <v>0.69073992024811692</v>
      </c>
      <c r="E99" s="9"/>
      <c r="G99" s="9"/>
    </row>
    <row r="100" spans="1:7" x14ac:dyDescent="0.3">
      <c r="A100" s="1">
        <v>98</v>
      </c>
      <c r="B100" s="1">
        <v>1559</v>
      </c>
      <c r="C100" s="1">
        <f t="shared" si="2"/>
        <v>0.33226427196921104</v>
      </c>
      <c r="D100" s="1">
        <f t="shared" si="3"/>
        <v>0.66773572803078896</v>
      </c>
      <c r="E100" s="9"/>
      <c r="G100" s="9"/>
    </row>
    <row r="101" spans="1:7" x14ac:dyDescent="0.3">
      <c r="A101" s="1">
        <v>99</v>
      </c>
      <c r="B101" s="1">
        <v>1041</v>
      </c>
      <c r="C101" s="1">
        <f t="shared" si="2"/>
        <v>0.35542747358309323</v>
      </c>
      <c r="D101" s="1">
        <f t="shared" si="3"/>
        <v>0.64457252641690677</v>
      </c>
      <c r="E101" s="9"/>
      <c r="G101" s="9"/>
    </row>
    <row r="102" spans="1:7" x14ac:dyDescent="0.3">
      <c r="A102" s="1">
        <v>100</v>
      </c>
      <c r="B102" s="1">
        <v>671</v>
      </c>
      <c r="C102" s="1">
        <v>1</v>
      </c>
      <c r="D102" s="1">
        <v>0</v>
      </c>
      <c r="E102" s="9"/>
      <c r="G102" s="9"/>
    </row>
  </sheetData>
  <mergeCells count="4">
    <mergeCell ref="G2:J2"/>
    <mergeCell ref="G3:J3"/>
    <mergeCell ref="G4:J4"/>
    <mergeCell ref="G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3B84-1ED6-4B15-9502-F263C3FEF240}">
  <dimension ref="A1:H101"/>
  <sheetViews>
    <sheetView workbookViewId="0"/>
  </sheetViews>
  <sheetFormatPr defaultRowHeight="14.4" x14ac:dyDescent="0.3"/>
  <cols>
    <col min="1" max="1" width="13" customWidth="1"/>
    <col min="2" max="3" width="10.33203125" customWidth="1"/>
    <col min="4" max="4" width="9.77734375" customWidth="1"/>
    <col min="5" max="5" width="13.44140625" customWidth="1"/>
    <col min="6" max="6" width="17.21875" customWidth="1"/>
    <col min="7" max="7" width="16" customWidth="1"/>
    <col min="8" max="8" width="25.44140625" customWidth="1"/>
  </cols>
  <sheetData>
    <row r="1" spans="1:8" ht="15.6" x14ac:dyDescent="0.3">
      <c r="A1" s="3" t="s">
        <v>93</v>
      </c>
      <c r="B1" s="3" t="s">
        <v>92</v>
      </c>
      <c r="C1" s="3" t="s">
        <v>199</v>
      </c>
      <c r="D1" s="3" t="s">
        <v>84</v>
      </c>
      <c r="E1" s="3" t="s">
        <v>94</v>
      </c>
      <c r="F1" s="3" t="s">
        <v>95</v>
      </c>
      <c r="G1" s="3" t="s">
        <v>96</v>
      </c>
      <c r="H1" s="3" t="s">
        <v>97</v>
      </c>
    </row>
    <row r="2" spans="1:8" x14ac:dyDescent="0.3">
      <c r="A2" s="1" t="s">
        <v>99</v>
      </c>
      <c r="B2" s="1" t="s">
        <v>98</v>
      </c>
      <c r="C2" s="1" t="s">
        <v>200</v>
      </c>
      <c r="D2" s="1">
        <v>32</v>
      </c>
      <c r="E2" s="1">
        <v>32</v>
      </c>
      <c r="F2" s="1">
        <f>D2-E2</f>
        <v>0</v>
      </c>
      <c r="G2" s="13">
        <v>31000000</v>
      </c>
      <c r="H2" s="1">
        <v>0</v>
      </c>
    </row>
    <row r="3" spans="1:8" x14ac:dyDescent="0.3">
      <c r="A3" s="1" t="s">
        <v>100</v>
      </c>
      <c r="B3" s="1" t="s">
        <v>98</v>
      </c>
      <c r="C3" s="1" t="s">
        <v>201</v>
      </c>
      <c r="D3" s="1">
        <v>39</v>
      </c>
      <c r="E3" s="1">
        <v>29</v>
      </c>
      <c r="F3" s="1">
        <f t="shared" ref="F3:F66" si="0">D3-E3</f>
        <v>10</v>
      </c>
      <c r="G3" s="13">
        <v>33000000</v>
      </c>
      <c r="H3" s="1">
        <v>0</v>
      </c>
    </row>
    <row r="4" spans="1:8" x14ac:dyDescent="0.3">
      <c r="A4" s="1" t="s">
        <v>101</v>
      </c>
      <c r="B4" s="1" t="s">
        <v>98</v>
      </c>
      <c r="C4" s="1" t="s">
        <v>200</v>
      </c>
      <c r="D4" s="1">
        <v>46</v>
      </c>
      <c r="E4" s="1">
        <v>25</v>
      </c>
      <c r="F4" s="1">
        <f t="shared" si="0"/>
        <v>21</v>
      </c>
      <c r="G4" s="13">
        <v>34000000</v>
      </c>
      <c r="H4" s="1">
        <v>0</v>
      </c>
    </row>
    <row r="5" spans="1:8" x14ac:dyDescent="0.3">
      <c r="A5" s="1" t="s">
        <v>102</v>
      </c>
      <c r="B5" s="1" t="s">
        <v>98</v>
      </c>
      <c r="C5" s="1" t="s">
        <v>201</v>
      </c>
      <c r="D5" s="1">
        <v>27</v>
      </c>
      <c r="E5" s="1">
        <v>27</v>
      </c>
      <c r="F5" s="1">
        <f t="shared" si="0"/>
        <v>0</v>
      </c>
      <c r="G5" s="13">
        <v>35000000</v>
      </c>
      <c r="H5" s="1">
        <v>0</v>
      </c>
    </row>
    <row r="6" spans="1:8" x14ac:dyDescent="0.3">
      <c r="A6" s="1" t="s">
        <v>103</v>
      </c>
      <c r="B6" s="1" t="s">
        <v>98</v>
      </c>
      <c r="C6" s="1" t="s">
        <v>200</v>
      </c>
      <c r="D6" s="1">
        <v>34</v>
      </c>
      <c r="E6" s="1">
        <v>32</v>
      </c>
      <c r="F6" s="1">
        <f t="shared" si="0"/>
        <v>2</v>
      </c>
      <c r="G6" s="13">
        <v>37000000</v>
      </c>
      <c r="H6" s="1">
        <v>0</v>
      </c>
    </row>
    <row r="7" spans="1:8" x14ac:dyDescent="0.3">
      <c r="A7" s="1" t="s">
        <v>104</v>
      </c>
      <c r="B7" s="1" t="s">
        <v>98</v>
      </c>
      <c r="C7" s="1" t="s">
        <v>201</v>
      </c>
      <c r="D7" s="1">
        <v>41</v>
      </c>
      <c r="E7" s="1">
        <v>28</v>
      </c>
      <c r="F7" s="1">
        <f t="shared" si="0"/>
        <v>13</v>
      </c>
      <c r="G7" s="13">
        <v>38000000</v>
      </c>
      <c r="H7" s="1">
        <v>0</v>
      </c>
    </row>
    <row r="8" spans="1:8" x14ac:dyDescent="0.3">
      <c r="A8" s="1" t="s">
        <v>105</v>
      </c>
      <c r="B8" s="1" t="s">
        <v>98</v>
      </c>
      <c r="C8" s="1" t="s">
        <v>200</v>
      </c>
      <c r="D8" s="1">
        <v>48</v>
      </c>
      <c r="E8" s="1">
        <v>24</v>
      </c>
      <c r="F8" s="1">
        <f t="shared" si="0"/>
        <v>24</v>
      </c>
      <c r="G8" s="13">
        <v>40000000</v>
      </c>
      <c r="H8" s="1">
        <v>0</v>
      </c>
    </row>
    <row r="9" spans="1:8" x14ac:dyDescent="0.3">
      <c r="A9" s="1" t="s">
        <v>106</v>
      </c>
      <c r="B9" s="1" t="s">
        <v>98</v>
      </c>
      <c r="C9" s="1" t="s">
        <v>201</v>
      </c>
      <c r="D9" s="1">
        <v>29</v>
      </c>
      <c r="E9" s="1">
        <v>29</v>
      </c>
      <c r="F9" s="1">
        <f t="shared" si="0"/>
        <v>0</v>
      </c>
      <c r="G9" s="13">
        <v>41000000</v>
      </c>
      <c r="H9" s="1">
        <v>0</v>
      </c>
    </row>
    <row r="10" spans="1:8" x14ac:dyDescent="0.3">
      <c r="A10" s="1" t="s">
        <v>107</v>
      </c>
      <c r="B10" s="1" t="s">
        <v>98</v>
      </c>
      <c r="C10" s="1" t="s">
        <v>200</v>
      </c>
      <c r="D10" s="1">
        <v>36</v>
      </c>
      <c r="E10" s="1">
        <v>31</v>
      </c>
      <c r="F10" s="1">
        <f t="shared" si="0"/>
        <v>5</v>
      </c>
      <c r="G10" s="13">
        <v>42000000</v>
      </c>
      <c r="H10" s="1">
        <v>0</v>
      </c>
    </row>
    <row r="11" spans="1:8" x14ac:dyDescent="0.3">
      <c r="A11" s="1" t="s">
        <v>108</v>
      </c>
      <c r="B11" s="1" t="s">
        <v>98</v>
      </c>
      <c r="C11" s="1" t="s">
        <v>201</v>
      </c>
      <c r="D11" s="1">
        <v>43</v>
      </c>
      <c r="E11" s="1">
        <v>27</v>
      </c>
      <c r="F11" s="1">
        <f t="shared" si="0"/>
        <v>16</v>
      </c>
      <c r="G11" s="13">
        <v>44000000</v>
      </c>
      <c r="H11" s="1">
        <v>0</v>
      </c>
    </row>
    <row r="12" spans="1:8" x14ac:dyDescent="0.3">
      <c r="A12" s="1" t="s">
        <v>109</v>
      </c>
      <c r="B12" s="1" t="s">
        <v>98</v>
      </c>
      <c r="C12" s="1" t="s">
        <v>200</v>
      </c>
      <c r="D12" s="1">
        <v>50</v>
      </c>
      <c r="E12" s="1">
        <v>23</v>
      </c>
      <c r="F12" s="1">
        <f t="shared" si="0"/>
        <v>27</v>
      </c>
      <c r="G12" s="13">
        <v>45000000</v>
      </c>
      <c r="H12" s="1">
        <v>0</v>
      </c>
    </row>
    <row r="13" spans="1:8" x14ac:dyDescent="0.3">
      <c r="A13" s="1" t="s">
        <v>110</v>
      </c>
      <c r="B13" s="1" t="s">
        <v>98</v>
      </c>
      <c r="C13" s="1" t="s">
        <v>201</v>
      </c>
      <c r="D13" s="1">
        <v>31</v>
      </c>
      <c r="E13" s="1">
        <v>31</v>
      </c>
      <c r="F13" s="1">
        <f t="shared" si="0"/>
        <v>0</v>
      </c>
      <c r="G13" s="13">
        <v>46000000</v>
      </c>
      <c r="H13" s="1">
        <v>0</v>
      </c>
    </row>
    <row r="14" spans="1:8" x14ac:dyDescent="0.3">
      <c r="A14" s="1" t="s">
        <v>111</v>
      </c>
      <c r="B14" s="1" t="s">
        <v>98</v>
      </c>
      <c r="C14" s="1" t="s">
        <v>200</v>
      </c>
      <c r="D14" s="1">
        <v>38</v>
      </c>
      <c r="E14" s="1">
        <v>30</v>
      </c>
      <c r="F14" s="1">
        <f t="shared" si="0"/>
        <v>8</v>
      </c>
      <c r="G14" s="13">
        <v>48000000</v>
      </c>
      <c r="H14" s="1">
        <v>0</v>
      </c>
    </row>
    <row r="15" spans="1:8" x14ac:dyDescent="0.3">
      <c r="A15" s="1" t="s">
        <v>112</v>
      </c>
      <c r="B15" s="1" t="s">
        <v>98</v>
      </c>
      <c r="C15" s="1" t="s">
        <v>201</v>
      </c>
      <c r="D15" s="1">
        <v>45</v>
      </c>
      <c r="E15" s="1">
        <v>26</v>
      </c>
      <c r="F15" s="1">
        <f t="shared" si="0"/>
        <v>19</v>
      </c>
      <c r="G15" s="13">
        <v>49000000</v>
      </c>
      <c r="H15" s="1">
        <v>0</v>
      </c>
    </row>
    <row r="16" spans="1:8" x14ac:dyDescent="0.3">
      <c r="A16" s="1" t="s">
        <v>113</v>
      </c>
      <c r="B16" s="1" t="s">
        <v>98</v>
      </c>
      <c r="C16" s="1" t="s">
        <v>200</v>
      </c>
      <c r="D16" s="1">
        <v>26</v>
      </c>
      <c r="E16" s="1">
        <v>22</v>
      </c>
      <c r="F16" s="1">
        <f t="shared" si="0"/>
        <v>4</v>
      </c>
      <c r="G16" s="13">
        <v>51000000</v>
      </c>
      <c r="H16" s="1">
        <v>0</v>
      </c>
    </row>
    <row r="17" spans="1:8" x14ac:dyDescent="0.3">
      <c r="A17" s="1" t="s">
        <v>114</v>
      </c>
      <c r="B17" s="1" t="s">
        <v>98</v>
      </c>
      <c r="C17" s="1" t="s">
        <v>201</v>
      </c>
      <c r="D17" s="1">
        <v>33</v>
      </c>
      <c r="E17" s="1">
        <v>33</v>
      </c>
      <c r="F17" s="1">
        <f t="shared" si="0"/>
        <v>0</v>
      </c>
      <c r="G17" s="13">
        <v>52000000</v>
      </c>
      <c r="H17" s="1">
        <v>0</v>
      </c>
    </row>
    <row r="18" spans="1:8" x14ac:dyDescent="0.3">
      <c r="A18" s="1" t="s">
        <v>115</v>
      </c>
      <c r="B18" s="1" t="s">
        <v>98</v>
      </c>
      <c r="C18" s="1" t="s">
        <v>200</v>
      </c>
      <c r="D18" s="1">
        <v>40</v>
      </c>
      <c r="E18" s="1">
        <v>29</v>
      </c>
      <c r="F18" s="1">
        <f t="shared" si="0"/>
        <v>11</v>
      </c>
      <c r="G18" s="13">
        <v>53000000</v>
      </c>
      <c r="H18" s="1">
        <v>0</v>
      </c>
    </row>
    <row r="19" spans="1:8" x14ac:dyDescent="0.3">
      <c r="A19" s="1" t="s">
        <v>116</v>
      </c>
      <c r="B19" s="1" t="s">
        <v>98</v>
      </c>
      <c r="C19" s="1" t="s">
        <v>201</v>
      </c>
      <c r="D19" s="1">
        <v>47</v>
      </c>
      <c r="E19" s="1">
        <v>25</v>
      </c>
      <c r="F19" s="1">
        <f t="shared" si="0"/>
        <v>22</v>
      </c>
      <c r="G19" s="13">
        <v>55000000</v>
      </c>
      <c r="H19" s="1">
        <v>0</v>
      </c>
    </row>
    <row r="20" spans="1:8" x14ac:dyDescent="0.3">
      <c r="A20" s="1" t="s">
        <v>117</v>
      </c>
      <c r="B20" s="1" t="s">
        <v>98</v>
      </c>
      <c r="C20" s="1" t="s">
        <v>200</v>
      </c>
      <c r="D20" s="1">
        <v>28</v>
      </c>
      <c r="E20" s="1">
        <v>28</v>
      </c>
      <c r="F20" s="1">
        <f t="shared" si="0"/>
        <v>0</v>
      </c>
      <c r="G20" s="13">
        <v>56000000</v>
      </c>
      <c r="H20" s="1">
        <v>0</v>
      </c>
    </row>
    <row r="21" spans="1:8" x14ac:dyDescent="0.3">
      <c r="A21" s="1" t="s">
        <v>118</v>
      </c>
      <c r="B21" s="1" t="s">
        <v>98</v>
      </c>
      <c r="C21" s="1" t="s">
        <v>201</v>
      </c>
      <c r="D21" s="1">
        <v>35</v>
      </c>
      <c r="E21" s="1">
        <v>32</v>
      </c>
      <c r="F21" s="1">
        <f t="shared" si="0"/>
        <v>3</v>
      </c>
      <c r="G21" s="13">
        <v>57000000</v>
      </c>
      <c r="H21" s="1">
        <v>0</v>
      </c>
    </row>
    <row r="22" spans="1:8" x14ac:dyDescent="0.3">
      <c r="A22" s="1" t="s">
        <v>119</v>
      </c>
      <c r="B22" s="1" t="s">
        <v>98</v>
      </c>
      <c r="C22" s="1" t="s">
        <v>200</v>
      </c>
      <c r="D22" s="1">
        <v>42</v>
      </c>
      <c r="E22" s="1">
        <v>28</v>
      </c>
      <c r="F22" s="1">
        <f t="shared" si="0"/>
        <v>14</v>
      </c>
      <c r="G22" s="13">
        <v>59000000</v>
      </c>
      <c r="H22" s="1">
        <v>0</v>
      </c>
    </row>
    <row r="23" spans="1:8" x14ac:dyDescent="0.3">
      <c r="A23" s="1" t="s">
        <v>120</v>
      </c>
      <c r="B23" s="1" t="s">
        <v>98</v>
      </c>
      <c r="C23" s="1" t="s">
        <v>201</v>
      </c>
      <c r="D23" s="1">
        <v>49</v>
      </c>
      <c r="E23" s="1">
        <v>24</v>
      </c>
      <c r="F23" s="1">
        <f t="shared" si="0"/>
        <v>25</v>
      </c>
      <c r="G23" s="13">
        <v>60000000</v>
      </c>
      <c r="H23" s="1">
        <v>0</v>
      </c>
    </row>
    <row r="24" spans="1:8" x14ac:dyDescent="0.3">
      <c r="A24" s="1" t="s">
        <v>121</v>
      </c>
      <c r="B24" s="1" t="s">
        <v>98</v>
      </c>
      <c r="C24" s="1" t="s">
        <v>200</v>
      </c>
      <c r="D24" s="1">
        <v>30</v>
      </c>
      <c r="E24" s="1">
        <v>30</v>
      </c>
      <c r="F24" s="1">
        <f t="shared" si="0"/>
        <v>0</v>
      </c>
      <c r="G24" s="13">
        <v>62000000</v>
      </c>
      <c r="H24" s="1">
        <v>0</v>
      </c>
    </row>
    <row r="25" spans="1:8" x14ac:dyDescent="0.3">
      <c r="A25" s="1" t="s">
        <v>122</v>
      </c>
      <c r="B25" s="1" t="s">
        <v>98</v>
      </c>
      <c r="C25" s="1" t="s">
        <v>201</v>
      </c>
      <c r="D25" s="1">
        <v>37</v>
      </c>
      <c r="E25" s="1">
        <v>31</v>
      </c>
      <c r="F25" s="1">
        <f t="shared" si="0"/>
        <v>6</v>
      </c>
      <c r="G25" s="13">
        <v>63000000</v>
      </c>
      <c r="H25" s="1">
        <v>0</v>
      </c>
    </row>
    <row r="26" spans="1:8" x14ac:dyDescent="0.3">
      <c r="A26" s="1" t="s">
        <v>123</v>
      </c>
      <c r="B26" s="1" t="s">
        <v>98</v>
      </c>
      <c r="C26" s="1" t="s">
        <v>200</v>
      </c>
      <c r="D26" s="1">
        <v>44</v>
      </c>
      <c r="E26" s="1">
        <v>27</v>
      </c>
      <c r="F26" s="1">
        <f t="shared" si="0"/>
        <v>17</v>
      </c>
      <c r="G26" s="13">
        <v>64000000</v>
      </c>
      <c r="H26" s="1">
        <v>0</v>
      </c>
    </row>
    <row r="27" spans="1:8" x14ac:dyDescent="0.3">
      <c r="A27" s="1" t="s">
        <v>124</v>
      </c>
      <c r="B27" s="1" t="s">
        <v>98</v>
      </c>
      <c r="C27" s="1" t="s">
        <v>201</v>
      </c>
      <c r="D27" s="1">
        <v>25</v>
      </c>
      <c r="E27" s="1">
        <v>23</v>
      </c>
      <c r="F27" s="1">
        <f t="shared" si="0"/>
        <v>2</v>
      </c>
      <c r="G27" s="13">
        <v>66000000</v>
      </c>
      <c r="H27" s="1">
        <v>0</v>
      </c>
    </row>
    <row r="28" spans="1:8" x14ac:dyDescent="0.3">
      <c r="A28" s="1" t="s">
        <v>125</v>
      </c>
      <c r="B28" s="1" t="s">
        <v>98</v>
      </c>
      <c r="C28" s="1" t="s">
        <v>200</v>
      </c>
      <c r="D28" s="1">
        <v>32</v>
      </c>
      <c r="E28" s="1">
        <v>32</v>
      </c>
      <c r="F28" s="1">
        <f t="shared" si="0"/>
        <v>0</v>
      </c>
      <c r="G28" s="13">
        <v>67000000</v>
      </c>
      <c r="H28" s="1">
        <v>0</v>
      </c>
    </row>
    <row r="29" spans="1:8" x14ac:dyDescent="0.3">
      <c r="A29" s="1" t="s">
        <v>126</v>
      </c>
      <c r="B29" s="1" t="s">
        <v>98</v>
      </c>
      <c r="C29" s="1" t="s">
        <v>201</v>
      </c>
      <c r="D29" s="1">
        <v>39</v>
      </c>
      <c r="E29" s="1">
        <v>30</v>
      </c>
      <c r="F29" s="1">
        <f t="shared" si="0"/>
        <v>9</v>
      </c>
      <c r="G29" s="13">
        <v>68000000</v>
      </c>
      <c r="H29" s="1">
        <v>0</v>
      </c>
    </row>
    <row r="30" spans="1:8" x14ac:dyDescent="0.3">
      <c r="A30" s="1" t="s">
        <v>127</v>
      </c>
      <c r="B30" s="1" t="s">
        <v>98</v>
      </c>
      <c r="C30" s="1" t="s">
        <v>200</v>
      </c>
      <c r="D30" s="1">
        <v>46</v>
      </c>
      <c r="E30" s="1">
        <v>26</v>
      </c>
      <c r="F30" s="1">
        <f t="shared" si="0"/>
        <v>20</v>
      </c>
      <c r="G30" s="13">
        <v>70000000</v>
      </c>
      <c r="H30" s="1">
        <v>0</v>
      </c>
    </row>
    <row r="31" spans="1:8" x14ac:dyDescent="0.3">
      <c r="A31" s="1" t="s">
        <v>128</v>
      </c>
      <c r="B31" s="1" t="s">
        <v>98</v>
      </c>
      <c r="C31" s="1" t="s">
        <v>201</v>
      </c>
      <c r="D31" s="1">
        <v>27</v>
      </c>
      <c r="E31" s="1">
        <v>22</v>
      </c>
      <c r="F31" s="1">
        <f t="shared" si="0"/>
        <v>5</v>
      </c>
      <c r="G31" s="13">
        <v>71000000</v>
      </c>
      <c r="H31" s="1">
        <v>0</v>
      </c>
    </row>
    <row r="32" spans="1:8" x14ac:dyDescent="0.3">
      <c r="A32" s="1" t="s">
        <v>129</v>
      </c>
      <c r="B32" s="1" t="s">
        <v>98</v>
      </c>
      <c r="C32" s="1" t="s">
        <v>200</v>
      </c>
      <c r="D32" s="1">
        <v>34</v>
      </c>
      <c r="E32" s="1">
        <v>33</v>
      </c>
      <c r="F32" s="1">
        <f t="shared" si="0"/>
        <v>1</v>
      </c>
      <c r="G32" s="13">
        <v>72000000</v>
      </c>
      <c r="H32" s="1">
        <v>0</v>
      </c>
    </row>
    <row r="33" spans="1:8" x14ac:dyDescent="0.3">
      <c r="A33" s="1" t="s">
        <v>130</v>
      </c>
      <c r="B33" s="1" t="s">
        <v>98</v>
      </c>
      <c r="C33" s="1" t="s">
        <v>201</v>
      </c>
      <c r="D33" s="1">
        <v>41</v>
      </c>
      <c r="E33" s="1">
        <v>29</v>
      </c>
      <c r="F33" s="1">
        <f t="shared" si="0"/>
        <v>12</v>
      </c>
      <c r="G33" s="13">
        <v>74000000</v>
      </c>
      <c r="H33" s="1">
        <v>0</v>
      </c>
    </row>
    <row r="34" spans="1:8" x14ac:dyDescent="0.3">
      <c r="A34" s="1" t="s">
        <v>131</v>
      </c>
      <c r="B34" s="1" t="s">
        <v>98</v>
      </c>
      <c r="C34" s="1" t="s">
        <v>200</v>
      </c>
      <c r="D34" s="1">
        <v>48</v>
      </c>
      <c r="E34" s="1">
        <v>25</v>
      </c>
      <c r="F34" s="1">
        <f t="shared" si="0"/>
        <v>23</v>
      </c>
      <c r="G34" s="13">
        <v>75000000</v>
      </c>
      <c r="H34" s="1">
        <v>0</v>
      </c>
    </row>
    <row r="35" spans="1:8" x14ac:dyDescent="0.3">
      <c r="A35" s="1" t="s">
        <v>132</v>
      </c>
      <c r="B35" s="1" t="s">
        <v>98</v>
      </c>
      <c r="C35" s="1" t="s">
        <v>201</v>
      </c>
      <c r="D35" s="1">
        <v>29</v>
      </c>
      <c r="E35" s="1">
        <v>29</v>
      </c>
      <c r="F35" s="1">
        <f t="shared" si="0"/>
        <v>0</v>
      </c>
      <c r="G35" s="13">
        <v>77000000</v>
      </c>
      <c r="H35" s="1">
        <v>0</v>
      </c>
    </row>
    <row r="36" spans="1:8" x14ac:dyDescent="0.3">
      <c r="A36" s="1" t="s">
        <v>133</v>
      </c>
      <c r="B36" s="1" t="s">
        <v>98</v>
      </c>
      <c r="C36" s="1" t="s">
        <v>200</v>
      </c>
      <c r="D36" s="1">
        <v>36</v>
      </c>
      <c r="E36" s="1">
        <v>32</v>
      </c>
      <c r="F36" s="1">
        <f t="shared" si="0"/>
        <v>4</v>
      </c>
      <c r="G36" s="13">
        <v>78000000</v>
      </c>
      <c r="H36" s="1">
        <v>0</v>
      </c>
    </row>
    <row r="37" spans="1:8" x14ac:dyDescent="0.3">
      <c r="A37" s="1" t="s">
        <v>134</v>
      </c>
      <c r="B37" s="1" t="s">
        <v>98</v>
      </c>
      <c r="C37" s="1" t="s">
        <v>201</v>
      </c>
      <c r="D37" s="1">
        <v>43</v>
      </c>
      <c r="E37" s="1">
        <v>28</v>
      </c>
      <c r="F37" s="1">
        <f t="shared" si="0"/>
        <v>15</v>
      </c>
      <c r="G37" s="13">
        <v>79000000</v>
      </c>
      <c r="H37" s="1">
        <v>0</v>
      </c>
    </row>
    <row r="38" spans="1:8" x14ac:dyDescent="0.3">
      <c r="A38" s="1" t="s">
        <v>135</v>
      </c>
      <c r="B38" s="1" t="s">
        <v>98</v>
      </c>
      <c r="C38" s="1" t="s">
        <v>200</v>
      </c>
      <c r="D38" s="1">
        <v>50</v>
      </c>
      <c r="E38" s="1">
        <v>24</v>
      </c>
      <c r="F38" s="1">
        <f t="shared" si="0"/>
        <v>26</v>
      </c>
      <c r="G38" s="13">
        <v>81000000</v>
      </c>
      <c r="H38" s="1">
        <v>0</v>
      </c>
    </row>
    <row r="39" spans="1:8" x14ac:dyDescent="0.3">
      <c r="A39" s="1" t="s">
        <v>136</v>
      </c>
      <c r="B39" s="1" t="s">
        <v>98</v>
      </c>
      <c r="C39" s="1" t="s">
        <v>201</v>
      </c>
      <c r="D39" s="1">
        <v>31</v>
      </c>
      <c r="E39" s="1">
        <v>31</v>
      </c>
      <c r="F39" s="1">
        <f t="shared" si="0"/>
        <v>0</v>
      </c>
      <c r="G39" s="13">
        <v>82000000</v>
      </c>
      <c r="H39" s="1">
        <v>0</v>
      </c>
    </row>
    <row r="40" spans="1:8" x14ac:dyDescent="0.3">
      <c r="A40" s="1" t="s">
        <v>137</v>
      </c>
      <c r="B40" s="1" t="s">
        <v>98</v>
      </c>
      <c r="C40" s="1" t="s">
        <v>200</v>
      </c>
      <c r="D40" s="1">
        <v>38</v>
      </c>
      <c r="E40" s="1">
        <v>31</v>
      </c>
      <c r="F40" s="1">
        <f t="shared" si="0"/>
        <v>7</v>
      </c>
      <c r="G40" s="13">
        <v>83000000</v>
      </c>
      <c r="H40" s="1">
        <v>0</v>
      </c>
    </row>
    <row r="41" spans="1:8" x14ac:dyDescent="0.3">
      <c r="A41" s="1" t="s">
        <v>138</v>
      </c>
      <c r="B41" s="1" t="s">
        <v>98</v>
      </c>
      <c r="C41" s="1" t="s">
        <v>201</v>
      </c>
      <c r="D41" s="1">
        <v>45</v>
      </c>
      <c r="E41" s="1">
        <v>27</v>
      </c>
      <c r="F41" s="1">
        <f t="shared" si="0"/>
        <v>18</v>
      </c>
      <c r="G41" s="13">
        <v>85000000</v>
      </c>
      <c r="H41" s="1">
        <v>0</v>
      </c>
    </row>
    <row r="42" spans="1:8" x14ac:dyDescent="0.3">
      <c r="A42" s="1" t="s">
        <v>139</v>
      </c>
      <c r="B42" s="1" t="s">
        <v>98</v>
      </c>
      <c r="C42" s="1" t="s">
        <v>200</v>
      </c>
      <c r="D42" s="1">
        <v>26</v>
      </c>
      <c r="E42" s="1">
        <v>23</v>
      </c>
      <c r="F42" s="1">
        <f t="shared" si="0"/>
        <v>3</v>
      </c>
      <c r="G42" s="13">
        <v>86000000</v>
      </c>
      <c r="H42" s="1">
        <v>0</v>
      </c>
    </row>
    <row r="43" spans="1:8" x14ac:dyDescent="0.3">
      <c r="A43" s="1" t="s">
        <v>140</v>
      </c>
      <c r="B43" s="1" t="s">
        <v>98</v>
      </c>
      <c r="C43" s="1" t="s">
        <v>201</v>
      </c>
      <c r="D43" s="1">
        <v>33</v>
      </c>
      <c r="E43" s="1">
        <v>33</v>
      </c>
      <c r="F43" s="1">
        <f t="shared" si="0"/>
        <v>0</v>
      </c>
      <c r="G43" s="13">
        <v>88000000</v>
      </c>
      <c r="H43" s="1">
        <v>0</v>
      </c>
    </row>
    <row r="44" spans="1:8" x14ac:dyDescent="0.3">
      <c r="A44" s="1" t="s">
        <v>141</v>
      </c>
      <c r="B44" s="1" t="s">
        <v>98</v>
      </c>
      <c r="C44" s="1" t="s">
        <v>200</v>
      </c>
      <c r="D44" s="1">
        <v>40</v>
      </c>
      <c r="E44" s="1">
        <v>30</v>
      </c>
      <c r="F44" s="1">
        <f t="shared" si="0"/>
        <v>10</v>
      </c>
      <c r="G44" s="13">
        <v>89000000</v>
      </c>
      <c r="H44" s="1">
        <v>0</v>
      </c>
    </row>
    <row r="45" spans="1:8" x14ac:dyDescent="0.3">
      <c r="A45" s="1" t="s">
        <v>142</v>
      </c>
      <c r="B45" s="1" t="s">
        <v>98</v>
      </c>
      <c r="C45" s="1" t="s">
        <v>201</v>
      </c>
      <c r="D45" s="1">
        <v>47</v>
      </c>
      <c r="E45" s="1">
        <v>26</v>
      </c>
      <c r="F45" s="1">
        <f t="shared" si="0"/>
        <v>21</v>
      </c>
      <c r="G45" s="13">
        <v>90000000</v>
      </c>
      <c r="H45" s="1">
        <v>0</v>
      </c>
    </row>
    <row r="46" spans="1:8" x14ac:dyDescent="0.3">
      <c r="A46" s="1" t="s">
        <v>143</v>
      </c>
      <c r="B46" s="1" t="s">
        <v>98</v>
      </c>
      <c r="C46" s="1" t="s">
        <v>200</v>
      </c>
      <c r="D46" s="1">
        <v>28</v>
      </c>
      <c r="E46" s="1">
        <v>22</v>
      </c>
      <c r="F46" s="1">
        <f t="shared" si="0"/>
        <v>6</v>
      </c>
      <c r="G46" s="13">
        <v>92000000</v>
      </c>
      <c r="H46" s="1">
        <v>0</v>
      </c>
    </row>
    <row r="47" spans="1:8" x14ac:dyDescent="0.3">
      <c r="A47" s="1" t="s">
        <v>144</v>
      </c>
      <c r="B47" s="1" t="s">
        <v>98</v>
      </c>
      <c r="C47" s="1" t="s">
        <v>201</v>
      </c>
      <c r="D47" s="1">
        <v>35</v>
      </c>
      <c r="E47" s="1">
        <v>33</v>
      </c>
      <c r="F47" s="1">
        <f t="shared" si="0"/>
        <v>2</v>
      </c>
      <c r="G47" s="13">
        <v>93000000</v>
      </c>
      <c r="H47" s="1">
        <v>0</v>
      </c>
    </row>
    <row r="48" spans="1:8" x14ac:dyDescent="0.3">
      <c r="A48" s="1" t="s">
        <v>145</v>
      </c>
      <c r="B48" s="1" t="s">
        <v>98</v>
      </c>
      <c r="C48" s="1" t="s">
        <v>200</v>
      </c>
      <c r="D48" s="1">
        <v>42</v>
      </c>
      <c r="E48" s="1">
        <v>29</v>
      </c>
      <c r="F48" s="1">
        <f t="shared" si="0"/>
        <v>13</v>
      </c>
      <c r="G48" s="13">
        <v>94000000</v>
      </c>
      <c r="H48" s="1">
        <v>0</v>
      </c>
    </row>
    <row r="49" spans="1:8" x14ac:dyDescent="0.3">
      <c r="A49" s="1" t="s">
        <v>146</v>
      </c>
      <c r="B49" s="1" t="s">
        <v>98</v>
      </c>
      <c r="C49" s="1" t="s">
        <v>201</v>
      </c>
      <c r="D49" s="1">
        <v>49</v>
      </c>
      <c r="E49" s="1">
        <v>25</v>
      </c>
      <c r="F49" s="1">
        <f t="shared" si="0"/>
        <v>24</v>
      </c>
      <c r="G49" s="13">
        <v>31000000</v>
      </c>
      <c r="H49" s="1">
        <v>0</v>
      </c>
    </row>
    <row r="50" spans="1:8" x14ac:dyDescent="0.3">
      <c r="A50" s="1" t="s">
        <v>147</v>
      </c>
      <c r="B50" s="1" t="s">
        <v>98</v>
      </c>
      <c r="C50" s="1" t="s">
        <v>200</v>
      </c>
      <c r="D50" s="1">
        <v>30</v>
      </c>
      <c r="E50" s="1">
        <v>30</v>
      </c>
      <c r="F50" s="1">
        <f t="shared" si="0"/>
        <v>0</v>
      </c>
      <c r="G50" s="13">
        <v>32000000</v>
      </c>
      <c r="H50" s="1">
        <v>0</v>
      </c>
    </row>
    <row r="51" spans="1:8" x14ac:dyDescent="0.3">
      <c r="A51" s="1" t="s">
        <v>148</v>
      </c>
      <c r="B51" s="1" t="s">
        <v>98</v>
      </c>
      <c r="C51" s="1" t="s">
        <v>201</v>
      </c>
      <c r="D51" s="1">
        <v>37</v>
      </c>
      <c r="E51" s="1">
        <v>32</v>
      </c>
      <c r="F51" s="1">
        <f t="shared" si="0"/>
        <v>5</v>
      </c>
      <c r="G51" s="13">
        <v>33000000</v>
      </c>
      <c r="H51" s="1">
        <v>0</v>
      </c>
    </row>
    <row r="52" spans="1:8" x14ac:dyDescent="0.3">
      <c r="A52" s="1" t="s">
        <v>149</v>
      </c>
      <c r="B52" s="1" t="s">
        <v>98</v>
      </c>
      <c r="C52" s="1" t="s">
        <v>200</v>
      </c>
      <c r="D52" s="1">
        <v>44</v>
      </c>
      <c r="E52" s="1">
        <v>28</v>
      </c>
      <c r="F52" s="1">
        <f t="shared" si="0"/>
        <v>16</v>
      </c>
      <c r="G52" s="13">
        <v>35000000</v>
      </c>
      <c r="H52" s="1">
        <v>0</v>
      </c>
    </row>
    <row r="53" spans="1:8" x14ac:dyDescent="0.3">
      <c r="A53" s="1" t="s">
        <v>150</v>
      </c>
      <c r="B53" s="1" t="s">
        <v>98</v>
      </c>
      <c r="C53" s="1" t="s">
        <v>201</v>
      </c>
      <c r="D53" s="1">
        <v>25</v>
      </c>
      <c r="E53" s="1">
        <v>24</v>
      </c>
      <c r="F53" s="1">
        <f t="shared" si="0"/>
        <v>1</v>
      </c>
      <c r="G53" s="13">
        <v>36000000</v>
      </c>
      <c r="H53" s="1">
        <v>0</v>
      </c>
    </row>
    <row r="54" spans="1:8" x14ac:dyDescent="0.3">
      <c r="A54" s="1" t="s">
        <v>151</v>
      </c>
      <c r="B54" s="1" t="s">
        <v>98</v>
      </c>
      <c r="C54" s="1" t="s">
        <v>200</v>
      </c>
      <c r="D54" s="1">
        <v>32</v>
      </c>
      <c r="E54" s="1">
        <v>32</v>
      </c>
      <c r="F54" s="1">
        <f t="shared" si="0"/>
        <v>0</v>
      </c>
      <c r="G54" s="13">
        <v>38000000</v>
      </c>
      <c r="H54" s="1">
        <v>0</v>
      </c>
    </row>
    <row r="55" spans="1:8" x14ac:dyDescent="0.3">
      <c r="A55" s="1" t="s">
        <v>152</v>
      </c>
      <c r="B55" s="1" t="s">
        <v>98</v>
      </c>
      <c r="C55" s="1" t="s">
        <v>201</v>
      </c>
      <c r="D55" s="1">
        <v>39</v>
      </c>
      <c r="E55" s="1">
        <v>31</v>
      </c>
      <c r="F55" s="1">
        <f t="shared" si="0"/>
        <v>8</v>
      </c>
      <c r="G55" s="13">
        <v>39000000</v>
      </c>
      <c r="H55" s="1">
        <v>0</v>
      </c>
    </row>
    <row r="56" spans="1:8" x14ac:dyDescent="0.3">
      <c r="A56" s="1" t="s">
        <v>153</v>
      </c>
      <c r="B56" s="1" t="s">
        <v>98</v>
      </c>
      <c r="C56" s="1" t="s">
        <v>200</v>
      </c>
      <c r="D56" s="1">
        <v>46</v>
      </c>
      <c r="E56" s="1">
        <v>27</v>
      </c>
      <c r="F56" s="1">
        <f t="shared" si="0"/>
        <v>19</v>
      </c>
      <c r="G56" s="13">
        <v>40000000</v>
      </c>
      <c r="H56" s="1">
        <v>0</v>
      </c>
    </row>
    <row r="57" spans="1:8" x14ac:dyDescent="0.3">
      <c r="A57" s="1" t="s">
        <v>154</v>
      </c>
      <c r="B57" s="1" t="s">
        <v>98</v>
      </c>
      <c r="C57" s="1" t="s">
        <v>201</v>
      </c>
      <c r="D57" s="1">
        <v>27</v>
      </c>
      <c r="E57" s="1">
        <v>23</v>
      </c>
      <c r="F57" s="1">
        <f t="shared" si="0"/>
        <v>4</v>
      </c>
      <c r="G57" s="13">
        <v>42000000</v>
      </c>
      <c r="H57" s="1">
        <v>0</v>
      </c>
    </row>
    <row r="58" spans="1:8" x14ac:dyDescent="0.3">
      <c r="A58" s="1" t="s">
        <v>155</v>
      </c>
      <c r="B58" s="1" t="s">
        <v>98</v>
      </c>
      <c r="C58" s="1" t="s">
        <v>200</v>
      </c>
      <c r="D58" s="1">
        <v>34</v>
      </c>
      <c r="E58" s="1">
        <v>34</v>
      </c>
      <c r="F58" s="1">
        <f t="shared" si="0"/>
        <v>0</v>
      </c>
      <c r="G58" s="13">
        <v>43000000</v>
      </c>
      <c r="H58" s="1">
        <v>0</v>
      </c>
    </row>
    <row r="59" spans="1:8" x14ac:dyDescent="0.3">
      <c r="A59" s="1" t="s">
        <v>156</v>
      </c>
      <c r="B59" s="1" t="s">
        <v>98</v>
      </c>
      <c r="C59" s="1" t="s">
        <v>201</v>
      </c>
      <c r="D59" s="1">
        <v>41</v>
      </c>
      <c r="E59" s="1">
        <v>30</v>
      </c>
      <c r="F59" s="1">
        <f t="shared" si="0"/>
        <v>11</v>
      </c>
      <c r="G59" s="13">
        <v>44000000</v>
      </c>
      <c r="H59" s="1">
        <v>0</v>
      </c>
    </row>
    <row r="60" spans="1:8" x14ac:dyDescent="0.3">
      <c r="A60" s="1" t="s">
        <v>157</v>
      </c>
      <c r="B60" s="1" t="s">
        <v>98</v>
      </c>
      <c r="C60" s="1" t="s">
        <v>200</v>
      </c>
      <c r="D60" s="1">
        <v>48</v>
      </c>
      <c r="E60" s="1">
        <v>26</v>
      </c>
      <c r="F60" s="1">
        <f t="shared" si="0"/>
        <v>22</v>
      </c>
      <c r="G60" s="13">
        <v>46000000</v>
      </c>
      <c r="H60" s="1">
        <v>0</v>
      </c>
    </row>
    <row r="61" spans="1:8" x14ac:dyDescent="0.3">
      <c r="A61" s="1" t="s">
        <v>158</v>
      </c>
      <c r="B61" s="1" t="s">
        <v>98</v>
      </c>
      <c r="C61" s="1" t="s">
        <v>201</v>
      </c>
      <c r="D61" s="1">
        <v>29</v>
      </c>
      <c r="E61" s="1">
        <v>22</v>
      </c>
      <c r="F61" s="1">
        <f t="shared" si="0"/>
        <v>7</v>
      </c>
      <c r="G61" s="13">
        <v>47000000</v>
      </c>
      <c r="H61" s="1">
        <v>0</v>
      </c>
    </row>
    <row r="62" spans="1:8" x14ac:dyDescent="0.3">
      <c r="A62" s="1" t="s">
        <v>159</v>
      </c>
      <c r="B62" s="1" t="s">
        <v>98</v>
      </c>
      <c r="C62" s="1" t="s">
        <v>200</v>
      </c>
      <c r="D62" s="1">
        <v>36</v>
      </c>
      <c r="E62" s="1">
        <v>33</v>
      </c>
      <c r="F62" s="1">
        <f t="shared" si="0"/>
        <v>3</v>
      </c>
      <c r="G62" s="13">
        <v>49000000</v>
      </c>
      <c r="H62" s="1">
        <v>0</v>
      </c>
    </row>
    <row r="63" spans="1:8" x14ac:dyDescent="0.3">
      <c r="A63" s="1" t="s">
        <v>160</v>
      </c>
      <c r="B63" s="1" t="s">
        <v>98</v>
      </c>
      <c r="C63" s="1" t="s">
        <v>201</v>
      </c>
      <c r="D63" s="1">
        <v>43</v>
      </c>
      <c r="E63" s="1">
        <v>29</v>
      </c>
      <c r="F63" s="1">
        <f t="shared" si="0"/>
        <v>14</v>
      </c>
      <c r="G63" s="13">
        <v>50000000</v>
      </c>
      <c r="H63" s="1">
        <v>0</v>
      </c>
    </row>
    <row r="64" spans="1:8" x14ac:dyDescent="0.3">
      <c r="A64" s="1" t="s">
        <v>161</v>
      </c>
      <c r="B64" s="1" t="s">
        <v>98</v>
      </c>
      <c r="C64" s="1" t="s">
        <v>200</v>
      </c>
      <c r="D64" s="1">
        <v>50</v>
      </c>
      <c r="E64" s="1">
        <v>25</v>
      </c>
      <c r="F64" s="1">
        <f t="shared" si="0"/>
        <v>25</v>
      </c>
      <c r="G64" s="13">
        <v>51000000</v>
      </c>
      <c r="H64" s="1">
        <v>0</v>
      </c>
    </row>
    <row r="65" spans="1:8" x14ac:dyDescent="0.3">
      <c r="A65" s="1" t="s">
        <v>162</v>
      </c>
      <c r="B65" s="1" t="s">
        <v>98</v>
      </c>
      <c r="C65" s="1" t="s">
        <v>201</v>
      </c>
      <c r="D65" s="1">
        <v>31</v>
      </c>
      <c r="E65" s="1">
        <v>31</v>
      </c>
      <c r="F65" s="1">
        <f t="shared" si="0"/>
        <v>0</v>
      </c>
      <c r="G65" s="13">
        <v>53000000</v>
      </c>
      <c r="H65" s="1">
        <v>0</v>
      </c>
    </row>
    <row r="66" spans="1:8" x14ac:dyDescent="0.3">
      <c r="A66" s="1" t="s">
        <v>163</v>
      </c>
      <c r="B66" s="1" t="s">
        <v>98</v>
      </c>
      <c r="C66" s="1" t="s">
        <v>200</v>
      </c>
      <c r="D66" s="1">
        <v>38</v>
      </c>
      <c r="E66" s="1">
        <v>32</v>
      </c>
      <c r="F66" s="1">
        <f t="shared" si="0"/>
        <v>6</v>
      </c>
      <c r="G66" s="13">
        <v>54000000</v>
      </c>
      <c r="H66" s="1">
        <v>0</v>
      </c>
    </row>
    <row r="67" spans="1:8" x14ac:dyDescent="0.3">
      <c r="A67" s="1" t="s">
        <v>164</v>
      </c>
      <c r="B67" s="1" t="s">
        <v>98</v>
      </c>
      <c r="C67" s="1" t="s">
        <v>201</v>
      </c>
      <c r="D67" s="1">
        <v>45</v>
      </c>
      <c r="E67" s="1">
        <v>28</v>
      </c>
      <c r="F67" s="1">
        <f t="shared" ref="F67:F101" si="1">D67-E67</f>
        <v>17</v>
      </c>
      <c r="G67" s="13">
        <v>55000000</v>
      </c>
      <c r="H67" s="1">
        <v>0</v>
      </c>
    </row>
    <row r="68" spans="1:8" x14ac:dyDescent="0.3">
      <c r="A68" s="1" t="s">
        <v>165</v>
      </c>
      <c r="B68" s="1" t="s">
        <v>98</v>
      </c>
      <c r="C68" s="1" t="s">
        <v>200</v>
      </c>
      <c r="D68" s="1">
        <v>26</v>
      </c>
      <c r="E68" s="1">
        <v>24</v>
      </c>
      <c r="F68" s="1">
        <f t="shared" si="1"/>
        <v>2</v>
      </c>
      <c r="G68" s="13">
        <v>57000000</v>
      </c>
      <c r="H68" s="1">
        <v>0</v>
      </c>
    </row>
    <row r="69" spans="1:8" x14ac:dyDescent="0.3">
      <c r="A69" s="1" t="s">
        <v>166</v>
      </c>
      <c r="B69" s="1" t="s">
        <v>98</v>
      </c>
      <c r="C69" s="1" t="s">
        <v>201</v>
      </c>
      <c r="D69" s="1">
        <v>33</v>
      </c>
      <c r="E69" s="1">
        <v>33</v>
      </c>
      <c r="F69" s="1">
        <f t="shared" si="1"/>
        <v>0</v>
      </c>
      <c r="G69" s="13">
        <v>58000000</v>
      </c>
      <c r="H69" s="1">
        <v>0</v>
      </c>
    </row>
    <row r="70" spans="1:8" x14ac:dyDescent="0.3">
      <c r="A70" s="1" t="s">
        <v>167</v>
      </c>
      <c r="B70" s="1" t="s">
        <v>98</v>
      </c>
      <c r="C70" s="1" t="s">
        <v>200</v>
      </c>
      <c r="D70" s="1">
        <v>40</v>
      </c>
      <c r="E70" s="1">
        <v>31</v>
      </c>
      <c r="F70" s="1">
        <f t="shared" si="1"/>
        <v>9</v>
      </c>
      <c r="G70" s="13">
        <v>59000000</v>
      </c>
      <c r="H70" s="1">
        <v>0</v>
      </c>
    </row>
    <row r="71" spans="1:8" x14ac:dyDescent="0.3">
      <c r="A71" s="1" t="s">
        <v>168</v>
      </c>
      <c r="B71" s="1" t="s">
        <v>98</v>
      </c>
      <c r="C71" s="1" t="s">
        <v>201</v>
      </c>
      <c r="D71" s="1">
        <v>47</v>
      </c>
      <c r="E71" s="1">
        <v>27</v>
      </c>
      <c r="F71" s="1">
        <f t="shared" si="1"/>
        <v>20</v>
      </c>
      <c r="G71" s="13">
        <v>60000000</v>
      </c>
      <c r="H71" s="1">
        <v>0</v>
      </c>
    </row>
    <row r="72" spans="1:8" x14ac:dyDescent="0.3">
      <c r="A72" s="1" t="s">
        <v>169</v>
      </c>
      <c r="B72" s="1" t="s">
        <v>98</v>
      </c>
      <c r="C72" s="1" t="s">
        <v>200</v>
      </c>
      <c r="D72" s="1">
        <v>28</v>
      </c>
      <c r="E72" s="1">
        <v>23</v>
      </c>
      <c r="F72" s="1">
        <f t="shared" si="1"/>
        <v>5</v>
      </c>
      <c r="G72" s="13">
        <v>62000000</v>
      </c>
      <c r="H72" s="1">
        <v>0</v>
      </c>
    </row>
    <row r="73" spans="1:8" x14ac:dyDescent="0.3">
      <c r="A73" s="1" t="s">
        <v>170</v>
      </c>
      <c r="B73" s="1" t="s">
        <v>98</v>
      </c>
      <c r="C73" s="1" t="s">
        <v>201</v>
      </c>
      <c r="D73" s="1">
        <v>35</v>
      </c>
      <c r="E73" s="1">
        <v>35</v>
      </c>
      <c r="F73" s="1">
        <f t="shared" si="1"/>
        <v>0</v>
      </c>
      <c r="G73" s="13">
        <v>63000000</v>
      </c>
      <c r="H73" s="1">
        <v>0</v>
      </c>
    </row>
    <row r="74" spans="1:8" x14ac:dyDescent="0.3">
      <c r="A74" s="1" t="s">
        <v>171</v>
      </c>
      <c r="B74" s="1" t="s">
        <v>98</v>
      </c>
      <c r="C74" s="1" t="s">
        <v>200</v>
      </c>
      <c r="D74" s="1">
        <v>42</v>
      </c>
      <c r="E74" s="1">
        <v>30</v>
      </c>
      <c r="F74" s="1">
        <f t="shared" si="1"/>
        <v>12</v>
      </c>
      <c r="G74" s="13">
        <v>64000000</v>
      </c>
      <c r="H74" s="1">
        <v>0</v>
      </c>
    </row>
    <row r="75" spans="1:8" x14ac:dyDescent="0.3">
      <c r="A75" s="1" t="s">
        <v>172</v>
      </c>
      <c r="B75" s="1" t="s">
        <v>98</v>
      </c>
      <c r="C75" s="1" t="s">
        <v>201</v>
      </c>
      <c r="D75" s="1">
        <v>49</v>
      </c>
      <c r="E75" s="1">
        <v>26</v>
      </c>
      <c r="F75" s="1">
        <f t="shared" si="1"/>
        <v>23</v>
      </c>
      <c r="G75" s="13">
        <v>66000000</v>
      </c>
      <c r="H75" s="1">
        <v>0</v>
      </c>
    </row>
    <row r="76" spans="1:8" x14ac:dyDescent="0.3">
      <c r="A76" s="1" t="s">
        <v>173</v>
      </c>
      <c r="B76" s="1" t="s">
        <v>98</v>
      </c>
      <c r="C76" s="1" t="s">
        <v>200</v>
      </c>
      <c r="D76" s="1">
        <v>30</v>
      </c>
      <c r="E76" s="1">
        <v>24</v>
      </c>
      <c r="F76" s="1">
        <f t="shared" si="1"/>
        <v>6</v>
      </c>
      <c r="G76" s="13">
        <v>67000000</v>
      </c>
      <c r="H76" s="1">
        <v>0</v>
      </c>
    </row>
    <row r="77" spans="1:8" x14ac:dyDescent="0.3">
      <c r="A77" s="1" t="s">
        <v>174</v>
      </c>
      <c r="B77" s="1" t="s">
        <v>98</v>
      </c>
      <c r="C77" s="1" t="s">
        <v>201</v>
      </c>
      <c r="D77" s="1">
        <v>37</v>
      </c>
      <c r="E77" s="1">
        <v>33</v>
      </c>
      <c r="F77" s="1">
        <f t="shared" si="1"/>
        <v>4</v>
      </c>
      <c r="G77" s="13">
        <v>69000000</v>
      </c>
      <c r="H77" s="1">
        <v>0</v>
      </c>
    </row>
    <row r="78" spans="1:8" x14ac:dyDescent="0.3">
      <c r="A78" s="1" t="s">
        <v>175</v>
      </c>
      <c r="B78" s="1" t="s">
        <v>98</v>
      </c>
      <c r="C78" s="1" t="s">
        <v>200</v>
      </c>
      <c r="D78" s="1">
        <v>44</v>
      </c>
      <c r="E78" s="1">
        <v>29</v>
      </c>
      <c r="F78" s="1">
        <f t="shared" si="1"/>
        <v>15</v>
      </c>
      <c r="G78" s="13">
        <v>70000000</v>
      </c>
      <c r="H78" s="1">
        <v>0</v>
      </c>
    </row>
    <row r="79" spans="1:8" x14ac:dyDescent="0.3">
      <c r="A79" s="1" t="s">
        <v>176</v>
      </c>
      <c r="B79" s="1" t="s">
        <v>98</v>
      </c>
      <c r="C79" s="1" t="s">
        <v>201</v>
      </c>
      <c r="D79" s="1">
        <v>25</v>
      </c>
      <c r="E79" s="1">
        <v>25</v>
      </c>
      <c r="F79" s="1">
        <f t="shared" si="1"/>
        <v>0</v>
      </c>
      <c r="G79" s="13">
        <v>71000000</v>
      </c>
      <c r="H79" s="1">
        <v>0</v>
      </c>
    </row>
    <row r="80" spans="1:8" x14ac:dyDescent="0.3">
      <c r="A80" s="1" t="s">
        <v>177</v>
      </c>
      <c r="B80" s="1" t="s">
        <v>98</v>
      </c>
      <c r="C80" s="1" t="s">
        <v>200</v>
      </c>
      <c r="D80" s="1">
        <v>32</v>
      </c>
      <c r="E80" s="1">
        <v>32</v>
      </c>
      <c r="F80" s="1">
        <f t="shared" si="1"/>
        <v>0</v>
      </c>
      <c r="G80" s="13">
        <v>73000000</v>
      </c>
      <c r="H80" s="1">
        <v>0</v>
      </c>
    </row>
    <row r="81" spans="1:8" x14ac:dyDescent="0.3">
      <c r="A81" s="1" t="s">
        <v>178</v>
      </c>
      <c r="B81" s="1" t="s">
        <v>98</v>
      </c>
      <c r="C81" s="1" t="s">
        <v>201</v>
      </c>
      <c r="D81" s="1">
        <v>39</v>
      </c>
      <c r="E81" s="1">
        <v>30</v>
      </c>
      <c r="F81" s="1">
        <f t="shared" si="1"/>
        <v>9</v>
      </c>
      <c r="G81" s="13">
        <v>74000000</v>
      </c>
      <c r="H81" s="1">
        <v>0</v>
      </c>
    </row>
    <row r="82" spans="1:8" x14ac:dyDescent="0.3">
      <c r="A82" s="1" t="s">
        <v>179</v>
      </c>
      <c r="B82" s="1" t="s">
        <v>98</v>
      </c>
      <c r="C82" s="1" t="s">
        <v>200</v>
      </c>
      <c r="D82" s="1">
        <v>46</v>
      </c>
      <c r="E82" s="1">
        <v>26</v>
      </c>
      <c r="F82" s="1">
        <f t="shared" si="1"/>
        <v>20</v>
      </c>
      <c r="G82" s="13">
        <v>75000000</v>
      </c>
      <c r="H82" s="1">
        <v>0</v>
      </c>
    </row>
    <row r="83" spans="1:8" x14ac:dyDescent="0.3">
      <c r="A83" s="1" t="s">
        <v>180</v>
      </c>
      <c r="B83" s="1" t="s">
        <v>98</v>
      </c>
      <c r="C83" s="1" t="s">
        <v>201</v>
      </c>
      <c r="D83" s="1">
        <v>27</v>
      </c>
      <c r="E83" s="1">
        <v>24</v>
      </c>
      <c r="F83" s="1">
        <f t="shared" si="1"/>
        <v>3</v>
      </c>
      <c r="G83" s="13">
        <v>77000000</v>
      </c>
      <c r="H83" s="1">
        <v>0</v>
      </c>
    </row>
    <row r="84" spans="1:8" x14ac:dyDescent="0.3">
      <c r="A84" s="1" t="s">
        <v>181</v>
      </c>
      <c r="B84" s="1" t="s">
        <v>98</v>
      </c>
      <c r="C84" s="1" t="s">
        <v>200</v>
      </c>
      <c r="D84" s="1">
        <v>34</v>
      </c>
      <c r="E84" s="1">
        <v>34</v>
      </c>
      <c r="F84" s="1">
        <f t="shared" si="1"/>
        <v>0</v>
      </c>
      <c r="G84" s="13">
        <v>78000000</v>
      </c>
      <c r="H84" s="1">
        <v>0</v>
      </c>
    </row>
    <row r="85" spans="1:8" x14ac:dyDescent="0.3">
      <c r="A85" s="1" t="s">
        <v>182</v>
      </c>
      <c r="B85" s="1" t="s">
        <v>98</v>
      </c>
      <c r="C85" s="1" t="s">
        <v>201</v>
      </c>
      <c r="D85" s="1">
        <v>41</v>
      </c>
      <c r="E85" s="1">
        <v>31</v>
      </c>
      <c r="F85" s="1">
        <f t="shared" si="1"/>
        <v>10</v>
      </c>
      <c r="G85" s="13">
        <v>79000000</v>
      </c>
      <c r="H85" s="1">
        <v>0</v>
      </c>
    </row>
    <row r="86" spans="1:8" x14ac:dyDescent="0.3">
      <c r="A86" s="1" t="s">
        <v>183</v>
      </c>
      <c r="B86" s="1" t="s">
        <v>98</v>
      </c>
      <c r="C86" s="1" t="s">
        <v>200</v>
      </c>
      <c r="D86" s="1">
        <v>48</v>
      </c>
      <c r="E86" s="1">
        <v>27</v>
      </c>
      <c r="F86" s="1">
        <f t="shared" si="1"/>
        <v>21</v>
      </c>
      <c r="G86" s="13">
        <v>81000000</v>
      </c>
      <c r="H86" s="1">
        <v>0</v>
      </c>
    </row>
    <row r="87" spans="1:8" x14ac:dyDescent="0.3">
      <c r="A87" s="1" t="s">
        <v>184</v>
      </c>
      <c r="B87" s="1" t="s">
        <v>98</v>
      </c>
      <c r="C87" s="1" t="s">
        <v>201</v>
      </c>
      <c r="D87" s="1">
        <v>29</v>
      </c>
      <c r="E87" s="1">
        <v>23</v>
      </c>
      <c r="F87" s="1">
        <f t="shared" si="1"/>
        <v>6</v>
      </c>
      <c r="G87" s="13">
        <v>82000000</v>
      </c>
      <c r="H87" s="1">
        <v>0</v>
      </c>
    </row>
    <row r="88" spans="1:8" x14ac:dyDescent="0.3">
      <c r="A88" s="1" t="s">
        <v>185</v>
      </c>
      <c r="B88" s="1" t="s">
        <v>98</v>
      </c>
      <c r="C88" s="1" t="s">
        <v>200</v>
      </c>
      <c r="D88" s="1">
        <v>36</v>
      </c>
      <c r="E88" s="1">
        <v>36</v>
      </c>
      <c r="F88" s="1">
        <f t="shared" si="1"/>
        <v>0</v>
      </c>
      <c r="G88" s="13">
        <v>83000000</v>
      </c>
      <c r="H88" s="1">
        <v>0</v>
      </c>
    </row>
    <row r="89" spans="1:8" x14ac:dyDescent="0.3">
      <c r="A89" s="1" t="s">
        <v>186</v>
      </c>
      <c r="B89" s="1" t="s">
        <v>98</v>
      </c>
      <c r="C89" s="1" t="s">
        <v>201</v>
      </c>
      <c r="D89" s="1">
        <v>43</v>
      </c>
      <c r="E89" s="1">
        <v>30</v>
      </c>
      <c r="F89" s="1">
        <f t="shared" si="1"/>
        <v>13</v>
      </c>
      <c r="G89" s="13">
        <v>85000000</v>
      </c>
      <c r="H89" s="1">
        <v>0</v>
      </c>
    </row>
    <row r="90" spans="1:8" x14ac:dyDescent="0.3">
      <c r="A90" s="1" t="s">
        <v>187</v>
      </c>
      <c r="B90" s="1" t="s">
        <v>98</v>
      </c>
      <c r="C90" s="1" t="s">
        <v>200</v>
      </c>
      <c r="D90" s="1">
        <v>50</v>
      </c>
      <c r="E90" s="1">
        <v>26</v>
      </c>
      <c r="F90" s="1">
        <f t="shared" si="1"/>
        <v>24</v>
      </c>
      <c r="G90" s="13">
        <v>86000000</v>
      </c>
      <c r="H90" s="1">
        <v>0</v>
      </c>
    </row>
    <row r="91" spans="1:8" x14ac:dyDescent="0.3">
      <c r="A91" s="1" t="s">
        <v>188</v>
      </c>
      <c r="B91" s="1" t="s">
        <v>98</v>
      </c>
      <c r="C91" s="1" t="s">
        <v>201</v>
      </c>
      <c r="D91" s="1">
        <v>31</v>
      </c>
      <c r="E91" s="1">
        <v>25</v>
      </c>
      <c r="F91" s="1">
        <f t="shared" si="1"/>
        <v>6</v>
      </c>
      <c r="G91" s="13">
        <v>88000000</v>
      </c>
      <c r="H91" s="1">
        <v>0</v>
      </c>
    </row>
    <row r="92" spans="1:8" x14ac:dyDescent="0.3">
      <c r="A92" s="1" t="s">
        <v>189</v>
      </c>
      <c r="B92" s="1" t="s">
        <v>98</v>
      </c>
      <c r="C92" s="1" t="s">
        <v>200</v>
      </c>
      <c r="D92" s="1">
        <v>38</v>
      </c>
      <c r="E92" s="1">
        <v>33</v>
      </c>
      <c r="F92" s="1">
        <f t="shared" si="1"/>
        <v>5</v>
      </c>
      <c r="G92" s="13">
        <v>89000000</v>
      </c>
      <c r="H92" s="1">
        <v>0</v>
      </c>
    </row>
    <row r="93" spans="1:8" x14ac:dyDescent="0.3">
      <c r="A93" s="1" t="s">
        <v>190</v>
      </c>
      <c r="B93" s="1" t="s">
        <v>98</v>
      </c>
      <c r="C93" s="1" t="s">
        <v>201</v>
      </c>
      <c r="D93" s="1">
        <v>45</v>
      </c>
      <c r="E93" s="1">
        <v>29</v>
      </c>
      <c r="F93" s="1">
        <f t="shared" si="1"/>
        <v>16</v>
      </c>
      <c r="G93" s="13">
        <v>90000000</v>
      </c>
      <c r="H93" s="1">
        <v>0</v>
      </c>
    </row>
    <row r="94" spans="1:8" x14ac:dyDescent="0.3">
      <c r="A94" s="1" t="s">
        <v>191</v>
      </c>
      <c r="B94" s="1" t="s">
        <v>98</v>
      </c>
      <c r="C94" s="1" t="s">
        <v>200</v>
      </c>
      <c r="D94" s="1">
        <v>26</v>
      </c>
      <c r="E94" s="1">
        <v>26</v>
      </c>
      <c r="F94" s="1">
        <f t="shared" si="1"/>
        <v>0</v>
      </c>
      <c r="G94" s="13">
        <v>92000000</v>
      </c>
      <c r="H94" s="1">
        <v>0</v>
      </c>
    </row>
    <row r="95" spans="1:8" x14ac:dyDescent="0.3">
      <c r="A95" s="1" t="s">
        <v>192</v>
      </c>
      <c r="B95" s="1" t="s">
        <v>98</v>
      </c>
      <c r="C95" s="1" t="s">
        <v>201</v>
      </c>
      <c r="D95" s="1">
        <v>33</v>
      </c>
      <c r="E95" s="1">
        <v>33</v>
      </c>
      <c r="F95" s="1">
        <f t="shared" si="1"/>
        <v>0</v>
      </c>
      <c r="G95" s="13">
        <v>93000000</v>
      </c>
      <c r="H95" s="1">
        <v>0</v>
      </c>
    </row>
    <row r="96" spans="1:8" x14ac:dyDescent="0.3">
      <c r="A96" s="1" t="s">
        <v>193</v>
      </c>
      <c r="B96" s="1" t="s">
        <v>98</v>
      </c>
      <c r="C96" s="1" t="s">
        <v>200</v>
      </c>
      <c r="D96" s="1">
        <v>40</v>
      </c>
      <c r="E96" s="1">
        <v>31</v>
      </c>
      <c r="F96" s="1">
        <f t="shared" si="1"/>
        <v>9</v>
      </c>
      <c r="G96" s="13">
        <v>94000000</v>
      </c>
      <c r="H96" s="1">
        <v>0</v>
      </c>
    </row>
    <row r="97" spans="1:8" x14ac:dyDescent="0.3">
      <c r="A97" s="1" t="s">
        <v>194</v>
      </c>
      <c r="B97" s="1" t="s">
        <v>98</v>
      </c>
      <c r="C97" s="1" t="s">
        <v>201</v>
      </c>
      <c r="D97" s="1">
        <v>47</v>
      </c>
      <c r="E97" s="1">
        <v>27</v>
      </c>
      <c r="F97" s="1">
        <f t="shared" si="1"/>
        <v>20</v>
      </c>
      <c r="G97" s="13">
        <v>95000000</v>
      </c>
      <c r="H97" s="1">
        <v>0</v>
      </c>
    </row>
    <row r="98" spans="1:8" x14ac:dyDescent="0.3">
      <c r="A98" s="1" t="s">
        <v>195</v>
      </c>
      <c r="B98" s="1" t="s">
        <v>98</v>
      </c>
      <c r="C98" s="1" t="s">
        <v>200</v>
      </c>
      <c r="D98" s="1">
        <v>28</v>
      </c>
      <c r="E98" s="1">
        <v>24</v>
      </c>
      <c r="F98" s="1">
        <f t="shared" si="1"/>
        <v>4</v>
      </c>
      <c r="G98" s="13">
        <v>97000000</v>
      </c>
      <c r="H98" s="1">
        <v>0</v>
      </c>
    </row>
    <row r="99" spans="1:8" x14ac:dyDescent="0.3">
      <c r="A99" s="1" t="s">
        <v>196</v>
      </c>
      <c r="B99" s="1" t="s">
        <v>98</v>
      </c>
      <c r="C99" s="1" t="s">
        <v>201</v>
      </c>
      <c r="D99" s="1">
        <v>35</v>
      </c>
      <c r="E99" s="1">
        <v>35</v>
      </c>
      <c r="F99" s="1">
        <f t="shared" si="1"/>
        <v>0</v>
      </c>
      <c r="G99" s="13">
        <v>98000000</v>
      </c>
      <c r="H99" s="1">
        <v>0</v>
      </c>
    </row>
    <row r="100" spans="1:8" x14ac:dyDescent="0.3">
      <c r="A100" s="1" t="s">
        <v>197</v>
      </c>
      <c r="B100" s="1" t="s">
        <v>98</v>
      </c>
      <c r="C100" s="1" t="s">
        <v>200</v>
      </c>
      <c r="D100" s="1">
        <v>42</v>
      </c>
      <c r="E100" s="1">
        <v>30</v>
      </c>
      <c r="F100" s="1">
        <f t="shared" si="1"/>
        <v>12</v>
      </c>
      <c r="G100" s="13">
        <v>99000000</v>
      </c>
      <c r="H100" s="1">
        <v>0</v>
      </c>
    </row>
    <row r="101" spans="1:8" x14ac:dyDescent="0.3">
      <c r="A101" s="1" t="s">
        <v>198</v>
      </c>
      <c r="B101" s="1" t="s">
        <v>98</v>
      </c>
      <c r="C101" s="1" t="s">
        <v>201</v>
      </c>
      <c r="D101" s="1">
        <v>49</v>
      </c>
      <c r="E101" s="1">
        <v>26</v>
      </c>
      <c r="F101" s="1">
        <f t="shared" si="1"/>
        <v>23</v>
      </c>
      <c r="G101" s="13">
        <v>100000000</v>
      </c>
      <c r="H101" s="1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Life_table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AmiranRayaneh</dc:creator>
  <cp:lastModifiedBy>AmiranRayaneh</cp:lastModifiedBy>
  <dcterms:created xsi:type="dcterms:W3CDTF">2026-08-07T14:57:03Z</dcterms:created>
  <dcterms:modified xsi:type="dcterms:W3CDTF">2026-08-08T03:17:48Z</dcterms:modified>
</cp:coreProperties>
</file>